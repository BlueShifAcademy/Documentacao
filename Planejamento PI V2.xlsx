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/>
  <mc:AlternateContent xmlns:mc="http://schemas.openxmlformats.org/markup-compatibility/2006">
    <mc:Choice Requires="x15">
      <x15ac:absPath xmlns:x15ac="http://schemas.microsoft.com/office/spreadsheetml/2010/11/ac" url="C:\Users\BlueShift\Desktop\"/>
    </mc:Choice>
  </mc:AlternateContent>
  <xr:revisionPtr revIDLastSave="0" documentId="8_{599E8B17-0B6F-48F9-9953-91679E739379}" xr6:coauthVersionLast="36" xr6:coauthVersionMax="36" xr10:uidLastSave="{00000000-0000-0000-0000-000000000000}"/>
  <bookViews>
    <workbookView xWindow="930" yWindow="0" windowWidth="19200" windowHeight="5860" firstSheet="3" activeTab="8" xr2:uid="{00000000-000D-0000-FFFF-FFFF00000000}"/>
  </bookViews>
  <sheets>
    <sheet name="Product Backlog" sheetId="4" r:id="rId1"/>
    <sheet name="Planning Poker" sheetId="3" r:id="rId2"/>
    <sheet name="Histórias de Usuário" sheetId="13" r:id="rId3"/>
    <sheet name="Sprint 1" sheetId="7" r:id="rId4"/>
    <sheet name="Sprint 2" sheetId="5" r:id="rId5"/>
    <sheet name="Revisão da Sprint" sheetId="8" r:id="rId6"/>
    <sheet name="Retrospectiva da Sprint" sheetId="9" r:id="rId7"/>
    <sheet name="Grafico" sheetId="15" r:id="rId8"/>
    <sheet name="Planej Grafico" sheetId="14" r:id="rId9"/>
  </sheets>
  <definedNames>
    <definedName name="_xlnm._FilterDatabase" localSheetId="6" hidden="1">'Retrospectiva da Sprint'!#REF!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14" l="1"/>
  <c r="B14" i="14"/>
  <c r="B35" i="14" l="1"/>
  <c r="C35" i="14" s="1"/>
  <c r="C34" i="14"/>
  <c r="C14" i="14"/>
  <c r="D14" i="14" s="1"/>
  <c r="E14" i="14" s="1"/>
  <c r="F14" i="14" s="1"/>
  <c r="G14" i="14" s="1"/>
  <c r="H14" i="14" s="1"/>
  <c r="I14" i="14" s="1"/>
  <c r="J14" i="14" s="1"/>
  <c r="K14" i="14" s="1"/>
  <c r="L14" i="14" s="1"/>
  <c r="M14" i="14" s="1"/>
  <c r="N14" i="14" s="1"/>
  <c r="O14" i="14" s="1"/>
  <c r="P14" i="14" s="1"/>
  <c r="Q14" i="14" s="1"/>
  <c r="D34" i="14" l="1"/>
  <c r="E34" i="14" s="1"/>
  <c r="F34" i="14" s="1"/>
  <c r="G34" i="14" s="1"/>
  <c r="H34" i="14" s="1"/>
  <c r="I34" i="14" s="1"/>
  <c r="J34" i="14" s="1"/>
  <c r="K34" i="14" s="1"/>
  <c r="L34" i="14" s="1"/>
  <c r="M34" i="14" s="1"/>
  <c r="N34" i="14" s="1"/>
  <c r="O34" i="14" s="1"/>
  <c r="P34" i="14" s="1"/>
  <c r="Q34" i="14" s="1"/>
  <c r="D35" i="14"/>
  <c r="E35" i="14" s="1"/>
  <c r="F35" i="14" s="1"/>
  <c r="G35" i="14" s="1"/>
  <c r="H35" i="14" s="1"/>
  <c r="I35" i="14" s="1"/>
  <c r="J35" i="14" s="1"/>
  <c r="K35" i="14" s="1"/>
  <c r="L35" i="14" s="1"/>
  <c r="M35" i="14" s="1"/>
  <c r="N35" i="14" s="1"/>
  <c r="O35" i="14" s="1"/>
  <c r="P35" i="14" s="1"/>
  <c r="Q35" i="14" s="1"/>
  <c r="C15" i="14"/>
  <c r="D15" i="14" s="1"/>
  <c r="E15" i="14" s="1"/>
  <c r="F15" i="14" s="1"/>
  <c r="G15" i="14" s="1"/>
  <c r="H15" i="14" s="1"/>
  <c r="I15" i="14" s="1"/>
  <c r="J15" i="14" s="1"/>
  <c r="K15" i="14" s="1"/>
  <c r="L15" i="14" s="1"/>
  <c r="M15" i="14" s="1"/>
  <c r="N15" i="14" s="1"/>
  <c r="O15" i="14" s="1"/>
  <c r="P15" i="14" s="1"/>
  <c r="Q15" i="14" s="1"/>
</calcChain>
</file>

<file path=xl/sharedStrings.xml><?xml version="1.0" encoding="utf-8"?>
<sst xmlns="http://schemas.openxmlformats.org/spreadsheetml/2006/main" count="196" uniqueCount="106">
  <si>
    <t>R</t>
  </si>
  <si>
    <t>#</t>
  </si>
  <si>
    <t>Histórico de pontos</t>
  </si>
  <si>
    <t>Descrição da atividade</t>
  </si>
  <si>
    <t>Prioridade</t>
  </si>
  <si>
    <t>Product Backlog</t>
  </si>
  <si>
    <t>Estimativa</t>
  </si>
  <si>
    <t>Sprint Planning</t>
  </si>
  <si>
    <t xml:space="preserve">Objetivo da Sprint: </t>
  </si>
  <si>
    <t>Data</t>
  </si>
  <si>
    <t>Sprint 1</t>
  </si>
  <si>
    <t>Sprint 2</t>
  </si>
  <si>
    <t>Revisão da Sprint</t>
  </si>
  <si>
    <t>O que foi entregue</t>
  </si>
  <si>
    <t>Quais os impedimentos da sprint</t>
  </si>
  <si>
    <t>Como foram resolvidos os Impedimentos</t>
  </si>
  <si>
    <t>Objetivo da Sprint:</t>
  </si>
  <si>
    <t>Sugestões e Feedback do PO</t>
  </si>
  <si>
    <t>Retrospectiva da Sprint</t>
  </si>
  <si>
    <t>Melhorias para a equipe</t>
  </si>
  <si>
    <t>Melhoria que será implantada na proxima sprint</t>
  </si>
  <si>
    <t>Definition of Done mudou ?</t>
  </si>
  <si>
    <t>Dificuldades no processo de desenvolvimento</t>
  </si>
  <si>
    <t>o que será feito</t>
  </si>
  <si>
    <t>como será feito</t>
  </si>
  <si>
    <t xml:space="preserve">Quem? </t>
  </si>
  <si>
    <t xml:space="preserve">O que? </t>
  </si>
  <si>
    <t xml:space="preserve">Para que? </t>
  </si>
  <si>
    <t>Histórias de Usuário</t>
  </si>
  <si>
    <t xml:space="preserve">Teste de Aceitação </t>
  </si>
  <si>
    <t>Total Horas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</si>
  <si>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</si>
  <si>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</si>
  <si>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</si>
  <si>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</si>
  <si>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</si>
  <si>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</si>
  <si>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</si>
  <si>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</si>
  <si>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</si>
  <si>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</si>
  <si>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</si>
  <si>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</si>
  <si>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</si>
  <si>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</si>
  <si>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</si>
  <si>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Restante</t>
  </si>
  <si>
    <t>Estimado</t>
  </si>
  <si>
    <t>M</t>
  </si>
  <si>
    <t>G</t>
  </si>
  <si>
    <t>Jonathan</t>
  </si>
  <si>
    <t>pp</t>
  </si>
  <si>
    <t>p</t>
  </si>
  <si>
    <t>m</t>
  </si>
  <si>
    <t>gg</t>
  </si>
  <si>
    <t>g</t>
  </si>
  <si>
    <t>TAMANHO</t>
  </si>
  <si>
    <t>PONTOS</t>
  </si>
  <si>
    <t>Deborah</t>
  </si>
  <si>
    <t>Eduarda</t>
  </si>
  <si>
    <t xml:space="preserve">Data da Revisão </t>
  </si>
  <si>
    <t xml:space="preserve">Data da Revisão  </t>
  </si>
  <si>
    <t xml:space="preserve">Data da Retrospectiva.   </t>
  </si>
  <si>
    <t xml:space="preserve">Data da Retrospectiva    </t>
  </si>
  <si>
    <t>Definition of Done: Tratamento e Cloud Computer</t>
  </si>
  <si>
    <t>Objetivo da Sprint: Realizar planajemento da estrutura do projeto para fazer o tratamento via GCP</t>
  </si>
  <si>
    <t>Realizar extração da base de dados via DATASUS</t>
  </si>
  <si>
    <t>P</t>
  </si>
  <si>
    <t>Realizar Required field no Computer Enginer do gcp</t>
  </si>
  <si>
    <t>Realizar o tratamento da base via jupyter notebook</t>
  </si>
  <si>
    <t>Realizar o armazenamento da base de dados Cloud Storage via GCP</t>
  </si>
  <si>
    <t>Realizar o Insert da base de dados no BigQuery</t>
  </si>
  <si>
    <t>Realizar o tratamento da base no BigQuery</t>
  </si>
  <si>
    <t>Realizar a conexão do BigQuery para o PowerBI</t>
  </si>
  <si>
    <t>Realizar o tratamento das tables Dim e Fato no PowerBI</t>
  </si>
  <si>
    <t>Realizar as procedures das tables Dim e Fato</t>
  </si>
  <si>
    <t xml:space="preserve">Realizar o Dashboard com analises de indicadores </t>
  </si>
  <si>
    <t>PP</t>
  </si>
  <si>
    <t xml:space="preserve">Ser capaz de realizar o tratamento da base dados </t>
  </si>
  <si>
    <t>Para criar uma analise de indicadores sobre a depressão no estado de SP</t>
  </si>
  <si>
    <r>
      <t xml:space="preserve">GCP: </t>
    </r>
    <r>
      <rPr>
        <sz val="11"/>
        <rFont val="Calibri"/>
        <family val="2"/>
      </rPr>
      <t>Quero fazer o ETL da base de dados do DATASUS</t>
    </r>
  </si>
  <si>
    <t>GCP Inválido</t>
  </si>
  <si>
    <t>GCP Válido</t>
  </si>
  <si>
    <t>Dominio</t>
  </si>
  <si>
    <t>Google Clould Platform vai realizar a cosulta do dominio que foi fornecido para poder obter os dados.</t>
  </si>
  <si>
    <r>
      <t xml:space="preserve">Google Cloud Platform vai consultar o tamanho da base de dados. Caso o suporte fornecido pela conta GCP seja </t>
    </r>
    <r>
      <rPr>
        <b/>
        <sz val="11"/>
        <rFont val="Calibri"/>
        <family val="2"/>
      </rPr>
      <t>&lt;</t>
    </r>
    <r>
      <rPr>
        <sz val="11"/>
        <rFont val="Calibri"/>
        <family val="2"/>
      </rPr>
      <t xml:space="preserve"> do que o tamanho do banco de dados, aparecerá uma notificação invalidando a ação.</t>
    </r>
  </si>
  <si>
    <r>
      <t>Google Cloud Platform vai consultar o tamanho da base de dados. Caso o suporte fornecido pela conta GCP seja</t>
    </r>
    <r>
      <rPr>
        <b/>
        <sz val="11"/>
        <rFont val="Calibri"/>
        <family val="2"/>
      </rPr>
      <t xml:space="preserve"> =&gt;</t>
    </r>
    <r>
      <rPr>
        <sz val="11"/>
        <rFont val="Calibri"/>
        <family val="2"/>
      </rPr>
      <t xml:space="preserve"> do que o tamanho do banco de dados, aparecerá uma notificação validando a ação.</t>
    </r>
  </si>
  <si>
    <r>
      <t xml:space="preserve">DATASUS: </t>
    </r>
    <r>
      <rPr>
        <sz val="11"/>
        <rFont val="Calibri"/>
        <family val="2"/>
      </rPr>
      <t>Quero importar base de dados do datasus para GCP</t>
    </r>
  </si>
  <si>
    <t>Ser capaz de armazenar a base de dados do datasus no meu GCP</t>
  </si>
  <si>
    <t>Para realizar o tratamento e consulta dessa base no GCP</t>
  </si>
  <si>
    <t xml:space="preserve">DATASUS fora do ar </t>
  </si>
  <si>
    <t>Não é possível acessar esse site</t>
  </si>
  <si>
    <t>É possível acessar esse site</t>
  </si>
  <si>
    <r>
      <t xml:space="preserve">Caminho do site foi informado errado, portanto irá aparecer a seguinte mensagem: </t>
    </r>
    <r>
      <rPr>
        <b/>
        <sz val="11"/>
        <rFont val="Calibri"/>
        <family val="2"/>
      </rPr>
      <t xml:space="preserve">Não é possível acessar esse site                                                                                    </t>
    </r>
    <r>
      <rPr>
        <sz val="11"/>
        <rFont val="Calibri"/>
        <family val="2"/>
      </rPr>
      <t>A página ftp://ftp.datasus.gov.br/disse pode estar temporariamente indisponível ou pode ter sido movida permanentemente para um novo endereço da Web.
ERR_FTP_FAILED</t>
    </r>
  </si>
  <si>
    <t>Caminho do site foi informado corretamente, portanto será possivel acessar o site.</t>
  </si>
  <si>
    <r>
      <t xml:space="preserve">POWER BI: </t>
    </r>
    <r>
      <rPr>
        <sz val="11"/>
        <rFont val="Calibri"/>
        <family val="2"/>
      </rPr>
      <t>Quero fazer o dashboard das bases de dados</t>
    </r>
  </si>
  <si>
    <t>Não conseguir conexão</t>
  </si>
  <si>
    <t>Conseguir conexão</t>
  </si>
  <si>
    <t>Não conseguir conexão com o GCP para importar as bases de dados.</t>
  </si>
  <si>
    <t>Conseguir importar todas as bases de dados do GCP, para realizar o tratamento.</t>
  </si>
  <si>
    <t xml:space="preserve">Ser capaz de tratar e analisar visualmente às informações </t>
  </si>
  <si>
    <t>Para facilitar a visualização do público interessado.</t>
  </si>
  <si>
    <t>18/02/2021 - 23/02/2021</t>
  </si>
  <si>
    <t>24/02/2021 - 01/03/2021</t>
  </si>
  <si>
    <t xml:space="preserve">Definition of Done:  Tratamento e Dashboard </t>
  </si>
  <si>
    <t>Objetivo da Sprint: Realizar o tratamento dos dados no GCP e a criação do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</si>
</sst>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d\-mmm\-yy;@"/>
    <numFmt numFmtId="165" formatCode="[$-416]dd\-mmm\-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b/>
      <sz val="12"/>
      <name val="Calibri"/>
      <family val="2"/>
    </font>
    <font>
      <b/>
      <sz val="12"/>
      <color rgb="FFFF0000"/>
      <name val="Calibri"/>
      <family val="2"/>
    </font>
    <font>
      <sz val="12"/>
      <color rgb="FF000000"/>
      <name val="Calibri"/>
      <family val="2"/>
    </font>
    <font>
      <b/>
      <sz val="12"/>
      <color theme="0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249977111117893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44546A"/>
        <bgColor rgb="FF44546A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0" fillId="0" borderId="0" xfId="0" applyFont="1" applyAlignment="1"/>
    <xf numFmtId="0" fontId="0" fillId="2" borderId="0" xfId="0" applyFont="1" applyFill="1" applyAlignment="1"/>
    <xf numFmtId="0" fontId="6" fillId="0" borderId="5" xfId="0" applyFont="1" applyBorder="1" applyAlignment="1">
      <alignment horizontal="center"/>
    </xf>
    <xf numFmtId="0" fontId="7" fillId="0" borderId="6" xfId="0" applyFont="1" applyBorder="1"/>
    <xf numFmtId="0" fontId="7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wrapText="1"/>
    </xf>
    <xf numFmtId="0" fontId="0" fillId="2" borderId="0" xfId="0" applyFont="1" applyFill="1" applyAlignment="1"/>
    <xf numFmtId="0" fontId="1" fillId="2" borderId="0" xfId="0" applyFont="1" applyFill="1" applyAlignment="1"/>
    <xf numFmtId="0" fontId="0" fillId="2" borderId="0" xfId="0" applyFill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3" fillId="0" borderId="17" xfId="0" applyFont="1" applyBorder="1"/>
    <xf numFmtId="0" fontId="3" fillId="0" borderId="18" xfId="0" applyFont="1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7" fillId="0" borderId="8" xfId="0" applyFont="1" applyBorder="1"/>
    <xf numFmtId="0" fontId="0" fillId="0" borderId="8" xfId="0" applyFont="1" applyBorder="1" applyAlignment="1"/>
    <xf numFmtId="0" fontId="7" fillId="2" borderId="8" xfId="0" applyFont="1" applyFill="1" applyBorder="1" applyAlignment="1">
      <alignment wrapText="1"/>
    </xf>
    <xf numFmtId="0" fontId="10" fillId="0" borderId="8" xfId="0" applyFont="1" applyBorder="1" applyAlignment="1"/>
    <xf numFmtId="1" fontId="0" fillId="0" borderId="8" xfId="0" applyNumberFormat="1" applyFont="1" applyBorder="1" applyAlignment="1"/>
    <xf numFmtId="0" fontId="0" fillId="0" borderId="0" xfId="0" applyFont="1" applyFill="1" applyBorder="1" applyAlignment="1"/>
    <xf numFmtId="0" fontId="7" fillId="0" borderId="6" xfId="0" applyFont="1" applyBorder="1" applyAlignment="1">
      <alignment wrapText="1"/>
    </xf>
    <xf numFmtId="0" fontId="0" fillId="2" borderId="0" xfId="0" applyFont="1" applyFill="1" applyAlignment="1"/>
    <xf numFmtId="0" fontId="7" fillId="0" borderId="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 wrapText="1"/>
    </xf>
    <xf numFmtId="164" fontId="7" fillId="0" borderId="6" xfId="0" applyNumberFormat="1" applyFont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165" fontId="7" fillId="0" borderId="6" xfId="0" applyNumberFormat="1" applyFont="1" applyBorder="1" applyAlignment="1">
      <alignment horizontal="center"/>
    </xf>
    <xf numFmtId="0" fontId="0" fillId="2" borderId="33" xfId="0" applyFont="1" applyFill="1" applyBorder="1" applyAlignment="1"/>
    <xf numFmtId="0" fontId="1" fillId="0" borderId="27" xfId="0" applyFont="1" applyBorder="1" applyAlignment="1">
      <alignment horizontal="center"/>
    </xf>
    <xf numFmtId="0" fontId="0" fillId="2" borderId="39" xfId="0" applyFont="1" applyFill="1" applyBorder="1" applyAlignment="1"/>
    <xf numFmtId="0" fontId="7" fillId="0" borderId="28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0" fillId="0" borderId="42" xfId="0" applyBorder="1"/>
    <xf numFmtId="0" fontId="12" fillId="7" borderId="0" xfId="0" applyFont="1" applyFill="1" applyAlignment="1"/>
    <xf numFmtId="0" fontId="0" fillId="2" borderId="8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5" borderId="21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6" borderId="33" xfId="0" applyFill="1" applyBorder="1" applyAlignment="1">
      <alignment horizontal="center"/>
    </xf>
    <xf numFmtId="0" fontId="0" fillId="2" borderId="0" xfId="0" applyFill="1" applyBorder="1"/>
    <xf numFmtId="0" fontId="0" fillId="6" borderId="1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/>
    </xf>
    <xf numFmtId="0" fontId="0" fillId="6" borderId="41" xfId="0" applyFill="1" applyBorder="1" applyAlignment="1">
      <alignment horizontal="center"/>
    </xf>
    <xf numFmtId="0" fontId="0" fillId="5" borderId="21" xfId="0" applyFill="1" applyBorder="1" applyAlignment="1">
      <alignment horizontal="center" vertical="center"/>
    </xf>
    <xf numFmtId="0" fontId="0" fillId="5" borderId="45" xfId="0" applyFill="1" applyBorder="1" applyAlignment="1">
      <alignment horizontal="center"/>
    </xf>
    <xf numFmtId="0" fontId="0" fillId="5" borderId="46" xfId="0" applyFill="1" applyBorder="1"/>
    <xf numFmtId="0" fontId="0" fillId="2" borderId="0" xfId="0" applyFont="1" applyFill="1" applyAlignment="1"/>
    <xf numFmtId="0" fontId="8" fillId="4" borderId="1" xfId="0" applyFont="1" applyFill="1" applyBorder="1" applyAlignment="1">
      <alignment horizontal="center"/>
    </xf>
    <xf numFmtId="0" fontId="4" fillId="3" borderId="2" xfId="0" applyFont="1" applyFill="1" applyBorder="1"/>
    <xf numFmtId="0" fontId="4" fillId="3" borderId="3" xfId="0" applyFont="1" applyFill="1" applyBorder="1"/>
    <xf numFmtId="0" fontId="0" fillId="2" borderId="0" xfId="0" applyFont="1" applyFill="1" applyAlignment="1"/>
    <xf numFmtId="0" fontId="3" fillId="0" borderId="7" xfId="0" applyFont="1" applyBorder="1"/>
    <xf numFmtId="0" fontId="3" fillId="0" borderId="6" xfId="0" applyFont="1" applyBorder="1"/>
    <xf numFmtId="0" fontId="8" fillId="4" borderId="9" xfId="0" applyFont="1" applyFill="1" applyBorder="1" applyAlignment="1">
      <alignment horizontal="center"/>
    </xf>
    <xf numFmtId="0" fontId="4" fillId="3" borderId="7" xfId="0" applyFont="1" applyFill="1" applyBorder="1"/>
    <xf numFmtId="0" fontId="4" fillId="3" borderId="6" xfId="0" applyFont="1" applyFill="1" applyBorder="1"/>
    <xf numFmtId="0" fontId="3" fillId="0" borderId="4" xfId="0" applyFont="1" applyBorder="1"/>
    <xf numFmtId="0" fontId="0" fillId="6" borderId="25" xfId="0" applyFill="1" applyBorder="1" applyAlignment="1">
      <alignment horizontal="center" vertical="center"/>
    </xf>
    <xf numFmtId="0" fontId="3" fillId="0" borderId="0" xfId="0" applyFont="1"/>
    <xf numFmtId="0" fontId="12" fillId="7" borderId="7" xfId="0" applyFont="1" applyFill="1" applyBorder="1" applyAlignment="1">
      <alignment horizontal="center"/>
    </xf>
    <xf numFmtId="0" fontId="0" fillId="6" borderId="24" xfId="0" applyFill="1" applyBorder="1" applyAlignment="1">
      <alignment horizontal="center" vertical="center"/>
    </xf>
    <xf numFmtId="0" fontId="0" fillId="6" borderId="43" xfId="0" applyFill="1" applyBorder="1" applyAlignment="1">
      <alignment horizontal="center" vertical="center"/>
    </xf>
    <xf numFmtId="0" fontId="0" fillId="6" borderId="44" xfId="0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top" wrapText="1"/>
    </xf>
    <xf numFmtId="0" fontId="3" fillId="0" borderId="26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38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8" fillId="4" borderId="22" xfId="0" applyFont="1" applyFill="1" applyBorder="1" applyAlignment="1">
      <alignment horizontal="center"/>
    </xf>
    <xf numFmtId="0" fontId="8" fillId="4" borderId="47" xfId="0" applyFont="1" applyFill="1" applyBorder="1" applyAlignment="1">
      <alignment horizontal="center"/>
    </xf>
    <xf numFmtId="0" fontId="8" fillId="4" borderId="48" xfId="0" applyFont="1" applyFill="1" applyBorder="1" applyAlignment="1">
      <alignment horizontal="center"/>
    </xf>
    <xf numFmtId="0" fontId="0" fillId="2" borderId="33" xfId="0" applyFont="1" applyFill="1" applyBorder="1" applyAlignment="1"/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34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41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34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41" xfId="0" applyFont="1" applyBorder="1" applyAlignment="1">
      <alignment horizontal="center" vertical="top" wrapText="1"/>
    </xf>
    <xf numFmtId="0" fontId="2" fillId="0" borderId="3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/>
    </xf>
    <xf numFmtId="0" fontId="4" fillId="3" borderId="25" xfId="0" applyFont="1" applyFill="1" applyBorder="1"/>
    <xf numFmtId="0" fontId="4" fillId="3" borderId="26" xfId="0" applyFont="1" applyFill="1" applyBorder="1"/>
    <xf numFmtId="0" fontId="2" fillId="0" borderId="13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3" fillId="0" borderId="0" xfId="0" applyFont="1" applyBorder="1"/>
    <xf numFmtId="0" fontId="8" fillId="4" borderId="15" xfId="0" applyFont="1" applyFill="1" applyBorder="1" applyAlignment="1">
      <alignment horizontal="center"/>
    </xf>
    <xf numFmtId="0" fontId="4" fillId="3" borderId="16" xfId="0" applyFont="1" applyFill="1" applyBorder="1"/>
    <xf numFmtId="0" fontId="2" fillId="0" borderId="20" xfId="0" applyFont="1" applyBorder="1" applyAlignment="1">
      <alignment horizontal="left" vertical="top"/>
    </xf>
    <xf numFmtId="0" fontId="2" fillId="0" borderId="21" xfId="0" applyFont="1" applyBorder="1" applyAlignment="1">
      <alignment horizontal="left" vertical="top"/>
    </xf>
    <xf numFmtId="0" fontId="2" fillId="0" borderId="17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0" fontId="8" fillId="4" borderId="17" xfId="0" applyFont="1" applyFill="1" applyBorder="1" applyAlignment="1">
      <alignment horizontal="center"/>
    </xf>
    <xf numFmtId="0" fontId="4" fillId="3" borderId="18" xfId="0" applyFont="1" applyFill="1" applyBorder="1"/>
    <xf numFmtId="0" fontId="3" fillId="0" borderId="22" xfId="0" applyFont="1" applyBorder="1"/>
    <xf numFmtId="0" fontId="3" fillId="0" borderId="23" xfId="0" applyFont="1" applyBorder="1"/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5" fillId="0" borderId="2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7" fillId="0" borderId="31" xfId="0" applyFont="1" applyBorder="1" applyAlignment="1">
      <alignment horizontal="center" vertical="top"/>
    </xf>
    <xf numFmtId="0" fontId="7" fillId="0" borderId="39" xfId="0" applyFont="1" applyBorder="1" applyAlignment="1">
      <alignment horizontal="center" vertical="top"/>
    </xf>
    <xf numFmtId="0" fontId="5" fillId="0" borderId="1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top" wrapText="1"/>
    </xf>
    <xf numFmtId="0" fontId="7" fillId="0" borderId="28" xfId="0" applyFont="1" applyBorder="1" applyAlignment="1">
      <alignment horizontal="center" vertical="top" wrapText="1"/>
    </xf>
    <xf numFmtId="0" fontId="5" fillId="0" borderId="2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3" fillId="0" borderId="17" xfId="0" applyFont="1" applyBorder="1"/>
    <xf numFmtId="0" fontId="3" fillId="0" borderId="18" xfId="0" applyFont="1" applyBorder="1"/>
    <xf numFmtId="0" fontId="5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top" wrapText="1"/>
    </xf>
    <xf numFmtId="0" fontId="5" fillId="0" borderId="32" xfId="0" applyFont="1" applyBorder="1" applyAlignment="1">
      <alignment horizontal="center" vertical="top" wrapText="1"/>
    </xf>
    <xf numFmtId="0" fontId="11" fillId="0" borderId="31" xfId="0" applyFont="1" applyBorder="1" applyAlignment="1">
      <alignment horizontal="center" wrapText="1"/>
    </xf>
    <xf numFmtId="0" fontId="11" fillId="0" borderId="32" xfId="0" applyFont="1" applyBorder="1" applyAlignment="1">
      <alignment horizontal="center" wrapText="1"/>
    </xf>
    <xf numFmtId="14" fontId="7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Gráfico Burndown Sprint</a:t>
            </a:r>
            <a:r>
              <a:rPr lang="pt-BR" baseline="0"/>
              <a:t> 1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Restate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'Planej Grafico'!$B$14:$Q$14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55-4B85-AA5B-3BA069761003}"/>
            </c:ext>
          </c:extLst>
        </c:ser>
        <c:ser>
          <c:idx val="1"/>
          <c:order val="1"/>
          <c:tx>
            <c:v>Estimada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'Planej Grafico'!$B$15:$Q$15</c:f>
              <c:numCache>
                <c:formatCode>0</c:formatCode>
                <c:ptCount val="16"/>
                <c:pt idx="0" formatCode="General">
                  <c:v>360</c:v>
                </c:pt>
                <c:pt idx="1">
                  <c:v>336</c:v>
                </c:pt>
                <c:pt idx="2">
                  <c:v>312</c:v>
                </c:pt>
                <c:pt idx="3">
                  <c:v>288</c:v>
                </c:pt>
                <c:pt idx="4">
                  <c:v>264</c:v>
                </c:pt>
                <c:pt idx="5">
                  <c:v>240</c:v>
                </c:pt>
                <c:pt idx="6">
                  <c:v>216</c:v>
                </c:pt>
                <c:pt idx="7">
                  <c:v>192</c:v>
                </c:pt>
                <c:pt idx="8">
                  <c:v>168</c:v>
                </c:pt>
                <c:pt idx="9">
                  <c:v>144</c:v>
                </c:pt>
                <c:pt idx="10">
                  <c:v>120</c:v>
                </c:pt>
                <c:pt idx="11">
                  <c:v>96</c:v>
                </c:pt>
                <c:pt idx="12">
                  <c:v>72</c:v>
                </c:pt>
                <c:pt idx="13">
                  <c:v>48</c:v>
                </c:pt>
                <c:pt idx="14">
                  <c:v>24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55-4B85-AA5B-3BA06976100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90324368"/>
        <c:axId val="1690327280"/>
      </c:lineChart>
      <c:catAx>
        <c:axId val="1690324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0327280"/>
        <c:crosses val="autoZero"/>
        <c:auto val="1"/>
        <c:lblAlgn val="ctr"/>
        <c:lblOffset val="100"/>
        <c:noMultiLvlLbl val="0"/>
      </c:catAx>
      <c:valAx>
        <c:axId val="169032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032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Gráfico Burndown Sprint</a:t>
            </a:r>
            <a:r>
              <a:rPr lang="pt-BR" baseline="0"/>
              <a:t> 2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Restante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'Planej Grafico'!$B$34:$Q$34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36-B345-87E7-2D12EFC168DB}"/>
            </c:ext>
          </c:extLst>
        </c:ser>
        <c:ser>
          <c:idx val="1"/>
          <c:order val="1"/>
          <c:tx>
            <c:v>Estimado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'Planej Grafico'!$B$35:$Q$35</c:f>
              <c:numCache>
                <c:formatCode>0</c:formatCode>
                <c:ptCount val="1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36-B345-87E7-2D12EFC168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90324368"/>
        <c:axId val="1690327280"/>
      </c:lineChart>
      <c:catAx>
        <c:axId val="1690324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0327280"/>
        <c:crosses val="autoZero"/>
        <c:auto val="1"/>
        <c:lblAlgn val="ctr"/>
        <c:lblOffset val="100"/>
        <c:noMultiLvlLbl val="0"/>
      </c:catAx>
      <c:valAx>
        <c:axId val="1690327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032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63500</xdr:colOff>
      <xdr:row>24</xdr:row>
      <xdr:rowOff>88900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584200</xdr:colOff>
      <xdr:row>0</xdr:row>
      <xdr:rowOff>0</xdr:rowOff>
    </xdr:from>
    <xdr:to>
      <xdr:col>25</xdr:col>
      <xdr:colOff>647700</xdr:colOff>
      <xdr:row>24</xdr:row>
      <xdr:rowOff>88900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96F3842A-AA1C-8D46-80F5-9C1DD570F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9"/>
  <sheetViews>
    <sheetView workbookViewId="0">
      <selection activeCell="D11" sqref="D11:D15"/>
    </sheetView>
  </sheetViews>
  <sheetFormatPr defaultColWidth="14.453125" defaultRowHeight="14.5" x14ac:dyDescent="0.35"/>
  <cols>
    <col min="1" max="1" width="11.7265625" style="1" customWidth="1"/>
    <col min="2" max="2" width="81.7265625" style="1" customWidth="1"/>
    <col min="3" max="3" width="21.26953125" style="1" customWidth="1"/>
    <col min="4" max="4" width="14.453125" style="1" customWidth="1"/>
    <col min="5" max="5" width="3.1796875" style="2" customWidth="1"/>
    <col min="6" max="27" width="14.453125" style="2"/>
    <col min="28" max="16384" width="14.453125" style="1"/>
  </cols>
  <sheetData>
    <row r="1" spans="1:27" ht="15.5" x14ac:dyDescent="0.35">
      <c r="A1" s="60" t="s">
        <v>5</v>
      </c>
      <c r="B1" s="61"/>
      <c r="C1" s="61"/>
      <c r="D1" s="62"/>
      <c r="E1" s="63"/>
    </row>
    <row r="2" spans="1:27" x14ac:dyDescent="0.35">
      <c r="A2" s="64"/>
      <c r="B2" s="64"/>
      <c r="C2" s="64"/>
      <c r="D2" s="65"/>
      <c r="E2" s="63"/>
    </row>
    <row r="3" spans="1:27" ht="15.5" x14ac:dyDescent="0.35">
      <c r="A3" s="66"/>
      <c r="B3" s="67"/>
      <c r="C3" s="67"/>
      <c r="D3" s="68"/>
      <c r="E3" s="63"/>
    </row>
    <row r="4" spans="1:27" x14ac:dyDescent="0.35">
      <c r="A4" s="64"/>
      <c r="B4" s="64"/>
      <c r="C4" s="64"/>
      <c r="D4" s="69"/>
      <c r="E4" s="63"/>
    </row>
    <row r="5" spans="1:27" s="16" customFormat="1" ht="15.5" x14ac:dyDescent="0.35">
      <c r="A5" s="11" t="s">
        <v>1</v>
      </c>
      <c r="B5" s="12" t="s">
        <v>3</v>
      </c>
      <c r="C5" s="13" t="s">
        <v>4</v>
      </c>
      <c r="D5" s="14" t="s">
        <v>6</v>
      </c>
      <c r="E5" s="63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 ht="15.5" x14ac:dyDescent="0.35">
      <c r="A6" s="3">
        <v>1</v>
      </c>
      <c r="B6" s="4" t="s">
        <v>66</v>
      </c>
      <c r="C6" s="5">
        <v>10</v>
      </c>
      <c r="D6" s="5" t="s">
        <v>49</v>
      </c>
      <c r="E6" s="63"/>
    </row>
    <row r="7" spans="1:27" ht="15.5" x14ac:dyDescent="0.35">
      <c r="A7" s="6">
        <v>2</v>
      </c>
      <c r="B7" s="4" t="s">
        <v>68</v>
      </c>
      <c r="C7" s="5">
        <v>10</v>
      </c>
      <c r="D7" s="5" t="s">
        <v>48</v>
      </c>
      <c r="E7" s="63"/>
    </row>
    <row r="8" spans="1:27" ht="15.5" x14ac:dyDescent="0.35">
      <c r="A8" s="6">
        <v>3</v>
      </c>
      <c r="B8" s="4" t="s">
        <v>69</v>
      </c>
      <c r="C8" s="5">
        <v>10</v>
      </c>
      <c r="D8" s="7" t="s">
        <v>67</v>
      </c>
      <c r="E8" s="63"/>
    </row>
    <row r="9" spans="1:27" ht="17.149999999999999" customHeight="1" x14ac:dyDescent="0.35">
      <c r="A9" s="6">
        <v>4</v>
      </c>
      <c r="B9" s="4" t="s">
        <v>70</v>
      </c>
      <c r="C9" s="5">
        <v>8</v>
      </c>
      <c r="D9" s="5" t="s">
        <v>48</v>
      </c>
      <c r="E9" s="63"/>
      <c r="F9" s="9"/>
    </row>
    <row r="10" spans="1:27" ht="15.5" x14ac:dyDescent="0.35">
      <c r="A10" s="6">
        <v>5</v>
      </c>
      <c r="B10" s="4" t="s">
        <v>71</v>
      </c>
      <c r="C10" s="5">
        <v>9</v>
      </c>
      <c r="D10" s="5" t="s">
        <v>48</v>
      </c>
      <c r="E10" s="63"/>
    </row>
    <row r="11" spans="1:27" ht="15.5" x14ac:dyDescent="0.35">
      <c r="A11" s="6">
        <v>6</v>
      </c>
      <c r="B11" s="4" t="s">
        <v>72</v>
      </c>
      <c r="C11" s="5">
        <v>9</v>
      </c>
      <c r="D11" s="5" t="s">
        <v>48</v>
      </c>
      <c r="E11" s="63"/>
    </row>
    <row r="12" spans="1:27" ht="15.5" x14ac:dyDescent="0.35">
      <c r="A12" s="6">
        <v>7</v>
      </c>
      <c r="B12" s="4" t="s">
        <v>75</v>
      </c>
      <c r="C12" s="5">
        <v>10</v>
      </c>
      <c r="D12" s="5" t="s">
        <v>48</v>
      </c>
      <c r="E12" s="63"/>
    </row>
    <row r="13" spans="1:27" ht="15.5" x14ac:dyDescent="0.35">
      <c r="A13" s="6">
        <v>8</v>
      </c>
      <c r="B13" s="4" t="s">
        <v>73</v>
      </c>
      <c r="C13" s="5">
        <v>10</v>
      </c>
      <c r="D13" s="5" t="s">
        <v>77</v>
      </c>
      <c r="E13" s="63"/>
    </row>
    <row r="14" spans="1:27" s="2" customFormat="1" ht="15.5" x14ac:dyDescent="0.35">
      <c r="A14" s="6">
        <v>9</v>
      </c>
      <c r="B14" s="4" t="s">
        <v>74</v>
      </c>
      <c r="C14" s="5">
        <v>8</v>
      </c>
      <c r="D14" s="5" t="s">
        <v>67</v>
      </c>
    </row>
    <row r="15" spans="1:27" s="2" customFormat="1" ht="15.5" x14ac:dyDescent="0.35">
      <c r="A15" s="6">
        <v>10</v>
      </c>
      <c r="B15" s="4" t="s">
        <v>76</v>
      </c>
      <c r="C15" s="5">
        <v>7</v>
      </c>
      <c r="D15" s="5" t="s">
        <v>48</v>
      </c>
    </row>
    <row r="16" spans="1:27" s="2" customFormat="1" ht="15.5" x14ac:dyDescent="0.35">
      <c r="A16" s="6">
        <v>11</v>
      </c>
      <c r="B16" s="4"/>
      <c r="C16" s="5"/>
      <c r="D16" s="5"/>
    </row>
    <row r="17" s="2" customFormat="1" x14ac:dyDescent="0.35"/>
    <row r="18" s="2" customFormat="1" x14ac:dyDescent="0.35"/>
    <row r="19" s="2" customFormat="1" x14ac:dyDescent="0.35"/>
    <row r="20" s="2" customFormat="1" x14ac:dyDescent="0.35"/>
    <row r="21" s="2" customFormat="1" x14ac:dyDescent="0.35"/>
    <row r="22" s="2" customFormat="1" x14ac:dyDescent="0.35"/>
    <row r="23" s="2" customFormat="1" x14ac:dyDescent="0.35"/>
    <row r="24" s="2" customFormat="1" x14ac:dyDescent="0.35"/>
    <row r="25" s="2" customFormat="1" x14ac:dyDescent="0.35"/>
    <row r="26" s="2" customFormat="1" x14ac:dyDescent="0.35"/>
    <row r="27" s="2" customFormat="1" x14ac:dyDescent="0.35"/>
    <row r="28" s="2" customFormat="1" x14ac:dyDescent="0.35"/>
    <row r="29" s="2" customFormat="1" x14ac:dyDescent="0.35"/>
    <row r="30" s="2" customFormat="1" x14ac:dyDescent="0.35"/>
    <row r="31" s="2" customFormat="1" x14ac:dyDescent="0.35"/>
    <row r="32" s="2" customFormat="1" x14ac:dyDescent="0.35"/>
    <row r="33" s="2" customFormat="1" x14ac:dyDescent="0.35"/>
    <row r="34" s="2" customFormat="1" x14ac:dyDescent="0.35"/>
    <row r="35" s="2" customFormat="1" x14ac:dyDescent="0.35"/>
    <row r="36" s="2" customFormat="1" x14ac:dyDescent="0.35"/>
    <row r="37" s="2" customFormat="1" x14ac:dyDescent="0.35"/>
    <row r="38" s="2" customFormat="1" x14ac:dyDescent="0.35"/>
    <row r="39" s="2" customFormat="1" x14ac:dyDescent="0.35"/>
    <row r="40" s="2" customFormat="1" x14ac:dyDescent="0.35"/>
    <row r="41" s="2" customFormat="1" x14ac:dyDescent="0.35"/>
    <row r="42" s="2" customFormat="1" x14ac:dyDescent="0.35"/>
    <row r="43" s="2" customFormat="1" x14ac:dyDescent="0.35"/>
    <row r="44" s="2" customFormat="1" x14ac:dyDescent="0.35"/>
    <row r="45" s="2" customFormat="1" x14ac:dyDescent="0.35"/>
    <row r="46" s="2" customFormat="1" x14ac:dyDescent="0.35"/>
    <row r="47" s="2" customFormat="1" x14ac:dyDescent="0.35"/>
    <row r="48" s="2" customFormat="1" x14ac:dyDescent="0.35"/>
    <row r="49" s="2" customFormat="1" x14ac:dyDescent="0.35"/>
    <row r="50" s="2" customFormat="1" x14ac:dyDescent="0.35"/>
    <row r="51" s="2" customFormat="1" x14ac:dyDescent="0.35"/>
    <row r="52" s="2" customFormat="1" x14ac:dyDescent="0.35"/>
    <row r="53" s="2" customFormat="1" x14ac:dyDescent="0.35"/>
    <row r="54" s="2" customFormat="1" x14ac:dyDescent="0.35"/>
    <row r="55" s="2" customFormat="1" x14ac:dyDescent="0.35"/>
    <row r="56" s="2" customFormat="1" x14ac:dyDescent="0.35"/>
    <row r="57" s="2" customFormat="1" x14ac:dyDescent="0.35"/>
    <row r="58" s="2" customFormat="1" x14ac:dyDescent="0.35"/>
    <row r="59" s="2" customFormat="1" x14ac:dyDescent="0.35"/>
    <row r="60" s="2" customFormat="1" x14ac:dyDescent="0.35"/>
    <row r="61" s="2" customFormat="1" x14ac:dyDescent="0.35"/>
    <row r="62" s="2" customFormat="1" x14ac:dyDescent="0.35"/>
    <row r="63" s="2" customFormat="1" x14ac:dyDescent="0.35"/>
    <row r="64" s="2" customFormat="1" x14ac:dyDescent="0.35"/>
    <row r="65" s="2" customFormat="1" x14ac:dyDescent="0.35"/>
    <row r="66" s="2" customFormat="1" x14ac:dyDescent="0.35"/>
    <row r="67" s="2" customFormat="1" x14ac:dyDescent="0.35"/>
    <row r="68" s="2" customFormat="1" x14ac:dyDescent="0.35"/>
    <row r="69" s="2" customFormat="1" x14ac:dyDescent="0.35"/>
    <row r="70" s="2" customFormat="1" x14ac:dyDescent="0.35"/>
    <row r="71" s="2" customFormat="1" x14ac:dyDescent="0.35"/>
    <row r="72" s="2" customFormat="1" x14ac:dyDescent="0.35"/>
    <row r="73" s="2" customFormat="1" x14ac:dyDescent="0.35"/>
    <row r="74" s="2" customFormat="1" x14ac:dyDescent="0.35"/>
    <row r="75" s="2" customFormat="1" x14ac:dyDescent="0.35"/>
    <row r="76" s="2" customFormat="1" x14ac:dyDescent="0.35"/>
    <row r="77" s="2" customFormat="1" x14ac:dyDescent="0.35"/>
    <row r="78" s="2" customFormat="1" x14ac:dyDescent="0.35"/>
    <row r="79" s="2" customFormat="1" x14ac:dyDescent="0.35"/>
    <row r="80" s="2" customFormat="1" x14ac:dyDescent="0.35"/>
    <row r="81" s="2" customFormat="1" x14ac:dyDescent="0.35"/>
    <row r="82" s="2" customFormat="1" x14ac:dyDescent="0.35"/>
    <row r="83" s="2" customFormat="1" x14ac:dyDescent="0.35"/>
    <row r="84" s="2" customFormat="1" x14ac:dyDescent="0.35"/>
    <row r="85" s="2" customFormat="1" x14ac:dyDescent="0.35"/>
    <row r="86" s="2" customFormat="1" x14ac:dyDescent="0.35"/>
    <row r="87" s="2" customFormat="1" x14ac:dyDescent="0.35"/>
    <row r="88" s="2" customFormat="1" x14ac:dyDescent="0.35"/>
    <row r="89" s="2" customFormat="1" x14ac:dyDescent="0.35"/>
    <row r="90" s="2" customFormat="1" x14ac:dyDescent="0.35"/>
    <row r="91" s="2" customFormat="1" x14ac:dyDescent="0.35"/>
    <row r="92" s="2" customFormat="1" x14ac:dyDescent="0.35"/>
    <row r="93" s="2" customFormat="1" x14ac:dyDescent="0.35"/>
    <row r="94" s="2" customFormat="1" x14ac:dyDescent="0.35"/>
    <row r="95" s="2" customFormat="1" x14ac:dyDescent="0.35"/>
    <row r="96" s="2" customFormat="1" x14ac:dyDescent="0.35"/>
    <row r="97" s="2" customFormat="1" x14ac:dyDescent="0.35"/>
    <row r="98" s="2" customFormat="1" x14ac:dyDescent="0.35"/>
    <row r="99" s="2" customFormat="1" x14ac:dyDescent="0.35"/>
    <row r="100" s="2" customFormat="1" x14ac:dyDescent="0.35"/>
    <row r="101" s="2" customFormat="1" x14ac:dyDescent="0.35"/>
    <row r="102" s="2" customFormat="1" x14ac:dyDescent="0.35"/>
    <row r="103" s="2" customFormat="1" x14ac:dyDescent="0.35"/>
    <row r="104" s="2" customFormat="1" x14ac:dyDescent="0.35"/>
    <row r="105" s="2" customFormat="1" x14ac:dyDescent="0.35"/>
    <row r="106" s="2" customFormat="1" x14ac:dyDescent="0.35"/>
    <row r="107" s="2" customFormat="1" x14ac:dyDescent="0.35"/>
    <row r="108" s="2" customFormat="1" x14ac:dyDescent="0.35"/>
    <row r="109" s="2" customFormat="1" x14ac:dyDescent="0.35"/>
    <row r="110" s="2" customFormat="1" x14ac:dyDescent="0.35"/>
    <row r="111" s="2" customFormat="1" x14ac:dyDescent="0.35"/>
    <row r="112" s="2" customFormat="1" x14ac:dyDescent="0.35"/>
    <row r="113" s="2" customFormat="1" x14ac:dyDescent="0.35"/>
    <row r="114" s="2" customFormat="1" x14ac:dyDescent="0.35"/>
    <row r="115" s="2" customFormat="1" x14ac:dyDescent="0.35"/>
    <row r="116" s="2" customFormat="1" x14ac:dyDescent="0.35"/>
    <row r="117" s="2" customFormat="1" x14ac:dyDescent="0.35"/>
    <row r="118" s="2" customFormat="1" x14ac:dyDescent="0.35"/>
    <row r="119" s="2" customFormat="1" x14ac:dyDescent="0.35"/>
    <row r="120" s="2" customFormat="1" x14ac:dyDescent="0.35"/>
    <row r="121" s="2" customFormat="1" x14ac:dyDescent="0.35"/>
    <row r="122" s="2" customFormat="1" x14ac:dyDescent="0.35"/>
    <row r="123" s="2" customFormat="1" x14ac:dyDescent="0.35"/>
    <row r="124" s="2" customFormat="1" x14ac:dyDescent="0.35"/>
    <row r="125" s="2" customFormat="1" x14ac:dyDescent="0.35"/>
    <row r="126" s="2" customFormat="1" x14ac:dyDescent="0.35"/>
    <row r="127" s="2" customFormat="1" x14ac:dyDescent="0.35"/>
    <row r="128" s="2" customFormat="1" x14ac:dyDescent="0.35"/>
    <row r="129" s="2" customFormat="1" x14ac:dyDescent="0.35"/>
    <row r="130" s="2" customFormat="1" x14ac:dyDescent="0.35"/>
    <row r="131" s="2" customFormat="1" x14ac:dyDescent="0.35"/>
    <row r="132" s="2" customFormat="1" x14ac:dyDescent="0.35"/>
    <row r="133" s="2" customFormat="1" x14ac:dyDescent="0.35"/>
    <row r="134" s="2" customFormat="1" x14ac:dyDescent="0.35"/>
    <row r="135" s="2" customFormat="1" x14ac:dyDescent="0.35"/>
    <row r="136" s="2" customFormat="1" x14ac:dyDescent="0.35"/>
    <row r="137" s="2" customFormat="1" x14ac:dyDescent="0.35"/>
    <row r="138" s="2" customFormat="1" x14ac:dyDescent="0.35"/>
    <row r="139" s="2" customFormat="1" x14ac:dyDescent="0.35"/>
  </sheetData>
  <mergeCells count="5">
    <mergeCell ref="A1:D1"/>
    <mergeCell ref="E1:E13"/>
    <mergeCell ref="A2:D2"/>
    <mergeCell ref="A3:D3"/>
    <mergeCell ref="A4:D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69"/>
  <sheetViews>
    <sheetView workbookViewId="0">
      <selection activeCell="D3" sqref="D3"/>
    </sheetView>
  </sheetViews>
  <sheetFormatPr defaultColWidth="8.81640625" defaultRowHeight="14.5" x14ac:dyDescent="0.35"/>
  <cols>
    <col min="1" max="1" width="9.1796875" style="10"/>
    <col min="2" max="3" width="11.453125" style="20" customWidth="1"/>
    <col min="4" max="5" width="11.453125" customWidth="1"/>
    <col min="6" max="38" width="9.1796875" style="10"/>
  </cols>
  <sheetData>
    <row r="1" spans="2:9" x14ac:dyDescent="0.35">
      <c r="B1" s="72" t="s">
        <v>2</v>
      </c>
      <c r="C1" s="64"/>
      <c r="D1" s="64"/>
      <c r="E1" s="64"/>
      <c r="F1" s="64"/>
    </row>
    <row r="2" spans="2:9" x14ac:dyDescent="0.35">
      <c r="B2" s="58" t="s">
        <v>0</v>
      </c>
      <c r="C2" s="49" t="s">
        <v>1</v>
      </c>
      <c r="D2" s="56" t="s">
        <v>58</v>
      </c>
      <c r="E2" s="57" t="s">
        <v>59</v>
      </c>
      <c r="F2" s="49" t="s">
        <v>50</v>
      </c>
      <c r="H2" s="45" t="s">
        <v>56</v>
      </c>
      <c r="I2" s="45" t="s">
        <v>57</v>
      </c>
    </row>
    <row r="3" spans="2:9" x14ac:dyDescent="0.35">
      <c r="B3" s="73">
        <v>1</v>
      </c>
      <c r="C3" s="70">
        <v>1</v>
      </c>
      <c r="D3" s="47"/>
      <c r="E3" s="47"/>
      <c r="F3" s="50"/>
      <c r="H3" s="46" t="s">
        <v>51</v>
      </c>
      <c r="I3" s="46">
        <v>1</v>
      </c>
    </row>
    <row r="4" spans="2:9" x14ac:dyDescent="0.35">
      <c r="B4" s="74"/>
      <c r="C4" s="71"/>
      <c r="D4" s="48"/>
      <c r="E4" s="48"/>
      <c r="F4" s="51"/>
      <c r="H4" s="46" t="s">
        <v>52</v>
      </c>
      <c r="I4" s="46">
        <v>2</v>
      </c>
    </row>
    <row r="5" spans="2:9" x14ac:dyDescent="0.35">
      <c r="B5" s="75"/>
      <c r="C5" s="53">
        <v>2</v>
      </c>
      <c r="D5" s="54"/>
      <c r="E5" s="54"/>
      <c r="F5" s="55"/>
      <c r="H5" s="46" t="s">
        <v>53</v>
      </c>
      <c r="I5" s="46">
        <v>3</v>
      </c>
    </row>
    <row r="6" spans="2:9" x14ac:dyDescent="0.35">
      <c r="B6" s="19"/>
      <c r="C6" s="19"/>
      <c r="D6" s="10"/>
      <c r="E6" s="10"/>
      <c r="F6" s="52"/>
      <c r="H6" s="46" t="s">
        <v>55</v>
      </c>
      <c r="I6" s="46">
        <v>5</v>
      </c>
    </row>
    <row r="7" spans="2:9" x14ac:dyDescent="0.35">
      <c r="B7" s="19"/>
      <c r="C7" s="19"/>
      <c r="D7" s="10"/>
      <c r="E7" s="10"/>
      <c r="H7" s="46" t="s">
        <v>54</v>
      </c>
      <c r="I7" s="46">
        <v>8</v>
      </c>
    </row>
    <row r="8" spans="2:9" x14ac:dyDescent="0.35">
      <c r="B8" s="19"/>
      <c r="C8" s="19"/>
      <c r="D8" s="10"/>
      <c r="E8" s="10"/>
    </row>
    <row r="9" spans="2:9" x14ac:dyDescent="0.35">
      <c r="B9" s="19"/>
      <c r="C9" s="19"/>
      <c r="D9" s="10"/>
      <c r="E9" s="10"/>
    </row>
    <row r="10" spans="2:9" s="10" customFormat="1" x14ac:dyDescent="0.35">
      <c r="B10" s="19"/>
      <c r="C10" s="19"/>
    </row>
    <row r="11" spans="2:9" s="10" customFormat="1" x14ac:dyDescent="0.35">
      <c r="B11" s="19"/>
      <c r="C11" s="19"/>
    </row>
    <row r="12" spans="2:9" s="10" customFormat="1" x14ac:dyDescent="0.35">
      <c r="B12" s="19"/>
      <c r="C12" s="19"/>
    </row>
    <row r="13" spans="2:9" s="10" customFormat="1" x14ac:dyDescent="0.35">
      <c r="B13" s="19"/>
      <c r="C13" s="19"/>
    </row>
    <row r="14" spans="2:9" s="10" customFormat="1" x14ac:dyDescent="0.35">
      <c r="B14" s="19"/>
      <c r="C14" s="19"/>
    </row>
    <row r="15" spans="2:9" s="10" customFormat="1" x14ac:dyDescent="0.35">
      <c r="B15" s="19"/>
      <c r="C15" s="19"/>
    </row>
    <row r="16" spans="2:9" s="10" customFormat="1" x14ac:dyDescent="0.35">
      <c r="B16" s="19"/>
      <c r="C16" s="19"/>
    </row>
    <row r="17" spans="2:3" s="10" customFormat="1" x14ac:dyDescent="0.35">
      <c r="B17" s="19"/>
      <c r="C17" s="19"/>
    </row>
    <row r="18" spans="2:3" s="10" customFormat="1" x14ac:dyDescent="0.35">
      <c r="B18" s="19"/>
      <c r="C18" s="19"/>
    </row>
    <row r="19" spans="2:3" s="10" customFormat="1" x14ac:dyDescent="0.35">
      <c r="B19" s="19"/>
      <c r="C19" s="19"/>
    </row>
    <row r="20" spans="2:3" s="10" customFormat="1" x14ac:dyDescent="0.35">
      <c r="B20" s="19"/>
      <c r="C20" s="19"/>
    </row>
    <row r="21" spans="2:3" s="10" customFormat="1" x14ac:dyDescent="0.35">
      <c r="B21" s="19"/>
      <c r="C21" s="19"/>
    </row>
    <row r="22" spans="2:3" s="10" customFormat="1" x14ac:dyDescent="0.35">
      <c r="B22" s="19"/>
      <c r="C22" s="19"/>
    </row>
    <row r="23" spans="2:3" s="10" customFormat="1" x14ac:dyDescent="0.35">
      <c r="B23" s="19"/>
      <c r="C23" s="19"/>
    </row>
    <row r="24" spans="2:3" s="10" customFormat="1" x14ac:dyDescent="0.35">
      <c r="B24" s="19"/>
      <c r="C24" s="19"/>
    </row>
    <row r="25" spans="2:3" s="10" customFormat="1" x14ac:dyDescent="0.35">
      <c r="B25" s="19"/>
      <c r="C25" s="19"/>
    </row>
    <row r="26" spans="2:3" s="10" customFormat="1" x14ac:dyDescent="0.35">
      <c r="B26" s="19"/>
      <c r="C26" s="19"/>
    </row>
    <row r="27" spans="2:3" s="10" customFormat="1" x14ac:dyDescent="0.35">
      <c r="B27" s="19"/>
      <c r="C27" s="19"/>
    </row>
    <row r="28" spans="2:3" s="10" customFormat="1" x14ac:dyDescent="0.35">
      <c r="B28" s="19"/>
      <c r="C28" s="19"/>
    </row>
    <row r="29" spans="2:3" s="10" customFormat="1" x14ac:dyDescent="0.35">
      <c r="B29" s="19"/>
      <c r="C29" s="19"/>
    </row>
    <row r="30" spans="2:3" s="10" customFormat="1" x14ac:dyDescent="0.35">
      <c r="B30" s="19"/>
      <c r="C30" s="19"/>
    </row>
    <row r="31" spans="2:3" s="10" customFormat="1" x14ac:dyDescent="0.35">
      <c r="B31" s="19"/>
      <c r="C31" s="19"/>
    </row>
    <row r="32" spans="2:3" s="10" customFormat="1" x14ac:dyDescent="0.35">
      <c r="B32" s="19"/>
      <c r="C32" s="19"/>
    </row>
    <row r="33" spans="2:3" s="10" customFormat="1" x14ac:dyDescent="0.35">
      <c r="B33" s="19"/>
      <c r="C33" s="19"/>
    </row>
    <row r="34" spans="2:3" s="10" customFormat="1" x14ac:dyDescent="0.35">
      <c r="B34" s="19"/>
      <c r="C34" s="19"/>
    </row>
    <row r="35" spans="2:3" s="10" customFormat="1" x14ac:dyDescent="0.35">
      <c r="B35" s="19"/>
      <c r="C35" s="19"/>
    </row>
    <row r="36" spans="2:3" s="10" customFormat="1" x14ac:dyDescent="0.35">
      <c r="B36" s="19"/>
      <c r="C36" s="19"/>
    </row>
    <row r="37" spans="2:3" s="10" customFormat="1" x14ac:dyDescent="0.35">
      <c r="B37" s="19"/>
      <c r="C37" s="19"/>
    </row>
    <row r="38" spans="2:3" s="10" customFormat="1" x14ac:dyDescent="0.35">
      <c r="B38" s="19"/>
      <c r="C38" s="19"/>
    </row>
    <row r="39" spans="2:3" s="10" customFormat="1" x14ac:dyDescent="0.35">
      <c r="B39" s="19"/>
      <c r="C39" s="19"/>
    </row>
    <row r="40" spans="2:3" s="10" customFormat="1" x14ac:dyDescent="0.35">
      <c r="B40" s="19"/>
      <c r="C40" s="19"/>
    </row>
    <row r="41" spans="2:3" s="10" customFormat="1" x14ac:dyDescent="0.35">
      <c r="B41" s="19"/>
      <c r="C41" s="19"/>
    </row>
    <row r="42" spans="2:3" s="10" customFormat="1" x14ac:dyDescent="0.35">
      <c r="B42" s="19"/>
      <c r="C42" s="19"/>
    </row>
    <row r="43" spans="2:3" s="10" customFormat="1" x14ac:dyDescent="0.35">
      <c r="B43" s="19"/>
      <c r="C43" s="19"/>
    </row>
    <row r="44" spans="2:3" s="10" customFormat="1" x14ac:dyDescent="0.35">
      <c r="B44" s="19"/>
      <c r="C44" s="19"/>
    </row>
    <row r="45" spans="2:3" s="10" customFormat="1" x14ac:dyDescent="0.35">
      <c r="B45" s="19"/>
      <c r="C45" s="19"/>
    </row>
    <row r="46" spans="2:3" s="10" customFormat="1" x14ac:dyDescent="0.35">
      <c r="B46" s="19"/>
      <c r="C46" s="19"/>
    </row>
    <row r="47" spans="2:3" s="10" customFormat="1" x14ac:dyDescent="0.35">
      <c r="B47" s="19"/>
      <c r="C47" s="19"/>
    </row>
    <row r="48" spans="2:3" s="10" customFormat="1" x14ac:dyDescent="0.35">
      <c r="B48" s="19"/>
      <c r="C48" s="19"/>
    </row>
    <row r="49" spans="2:3" s="10" customFormat="1" x14ac:dyDescent="0.35">
      <c r="B49" s="19"/>
      <c r="C49" s="19"/>
    </row>
    <row r="50" spans="2:3" s="10" customFormat="1" x14ac:dyDescent="0.35">
      <c r="B50" s="19"/>
      <c r="C50" s="19"/>
    </row>
    <row r="51" spans="2:3" s="10" customFormat="1" x14ac:dyDescent="0.35">
      <c r="B51" s="19"/>
      <c r="C51" s="19"/>
    </row>
    <row r="52" spans="2:3" s="10" customFormat="1" x14ac:dyDescent="0.35">
      <c r="B52" s="19"/>
      <c r="C52" s="19"/>
    </row>
    <row r="53" spans="2:3" s="10" customFormat="1" x14ac:dyDescent="0.35">
      <c r="B53" s="19"/>
      <c r="C53" s="19"/>
    </row>
    <row r="54" spans="2:3" s="10" customFormat="1" x14ac:dyDescent="0.35">
      <c r="B54" s="19"/>
      <c r="C54" s="19"/>
    </row>
    <row r="55" spans="2:3" s="10" customFormat="1" x14ac:dyDescent="0.35">
      <c r="B55" s="19"/>
      <c r="C55" s="19"/>
    </row>
    <row r="56" spans="2:3" s="10" customFormat="1" x14ac:dyDescent="0.35">
      <c r="B56" s="19"/>
      <c r="C56" s="19"/>
    </row>
    <row r="57" spans="2:3" s="10" customFormat="1" x14ac:dyDescent="0.35">
      <c r="B57" s="19"/>
      <c r="C57" s="19"/>
    </row>
    <row r="58" spans="2:3" s="10" customFormat="1" x14ac:dyDescent="0.35">
      <c r="B58" s="19"/>
      <c r="C58" s="19"/>
    </row>
    <row r="59" spans="2:3" s="10" customFormat="1" x14ac:dyDescent="0.35">
      <c r="B59" s="19"/>
      <c r="C59" s="19"/>
    </row>
    <row r="60" spans="2:3" s="10" customFormat="1" x14ac:dyDescent="0.35">
      <c r="B60" s="19"/>
      <c r="C60" s="19"/>
    </row>
    <row r="61" spans="2:3" s="10" customFormat="1" x14ac:dyDescent="0.35">
      <c r="B61" s="19"/>
      <c r="C61" s="19"/>
    </row>
    <row r="62" spans="2:3" s="10" customFormat="1" x14ac:dyDescent="0.35">
      <c r="B62" s="19"/>
      <c r="C62" s="19"/>
    </row>
    <row r="63" spans="2:3" s="10" customFormat="1" x14ac:dyDescent="0.35">
      <c r="B63" s="19"/>
      <c r="C63" s="19"/>
    </row>
    <row r="64" spans="2:3" s="10" customFormat="1" x14ac:dyDescent="0.35">
      <c r="B64" s="19"/>
      <c r="C64" s="19"/>
    </row>
    <row r="65" spans="2:3" s="10" customFormat="1" x14ac:dyDescent="0.35">
      <c r="B65" s="19"/>
      <c r="C65" s="19"/>
    </row>
    <row r="66" spans="2:3" s="10" customFormat="1" x14ac:dyDescent="0.35">
      <c r="B66" s="19"/>
      <c r="C66" s="19"/>
    </row>
    <row r="67" spans="2:3" s="10" customFormat="1" x14ac:dyDescent="0.35">
      <c r="B67" s="19"/>
      <c r="C67" s="19"/>
    </row>
    <row r="68" spans="2:3" s="10" customFormat="1" x14ac:dyDescent="0.35">
      <c r="B68" s="19"/>
      <c r="C68" s="19"/>
    </row>
    <row r="69" spans="2:3" s="10" customFormat="1" x14ac:dyDescent="0.35">
      <c r="B69" s="19"/>
      <c r="C69" s="19"/>
    </row>
    <row r="70" spans="2:3" s="10" customFormat="1" x14ac:dyDescent="0.35">
      <c r="B70" s="19"/>
      <c r="C70" s="19"/>
    </row>
    <row r="71" spans="2:3" s="10" customFormat="1" x14ac:dyDescent="0.35">
      <c r="B71" s="19"/>
      <c r="C71" s="19"/>
    </row>
    <row r="72" spans="2:3" s="10" customFormat="1" x14ac:dyDescent="0.35">
      <c r="B72" s="19"/>
      <c r="C72" s="19"/>
    </row>
    <row r="73" spans="2:3" s="10" customFormat="1" x14ac:dyDescent="0.35">
      <c r="B73" s="19"/>
      <c r="C73" s="19"/>
    </row>
    <row r="74" spans="2:3" s="10" customFormat="1" x14ac:dyDescent="0.35">
      <c r="B74" s="19"/>
      <c r="C74" s="19"/>
    </row>
    <row r="75" spans="2:3" s="10" customFormat="1" x14ac:dyDescent="0.35">
      <c r="B75" s="19"/>
      <c r="C75" s="19"/>
    </row>
    <row r="76" spans="2:3" s="10" customFormat="1" x14ac:dyDescent="0.35">
      <c r="B76" s="19"/>
      <c r="C76" s="19"/>
    </row>
    <row r="77" spans="2:3" s="10" customFormat="1" x14ac:dyDescent="0.35">
      <c r="B77" s="19"/>
      <c r="C77" s="19"/>
    </row>
    <row r="78" spans="2:3" s="10" customFormat="1" x14ac:dyDescent="0.35">
      <c r="B78" s="19"/>
      <c r="C78" s="19"/>
    </row>
    <row r="79" spans="2:3" s="10" customFormat="1" x14ac:dyDescent="0.35">
      <c r="B79" s="19"/>
      <c r="C79" s="19"/>
    </row>
    <row r="80" spans="2:3" s="10" customFormat="1" x14ac:dyDescent="0.35">
      <c r="B80" s="19"/>
      <c r="C80" s="19"/>
    </row>
    <row r="81" spans="2:3" s="10" customFormat="1" x14ac:dyDescent="0.35">
      <c r="B81" s="19"/>
      <c r="C81" s="19"/>
    </row>
    <row r="82" spans="2:3" s="10" customFormat="1" x14ac:dyDescent="0.35">
      <c r="B82" s="19"/>
      <c r="C82" s="19"/>
    </row>
    <row r="83" spans="2:3" s="10" customFormat="1" x14ac:dyDescent="0.35">
      <c r="B83" s="19"/>
      <c r="C83" s="19"/>
    </row>
    <row r="84" spans="2:3" s="10" customFormat="1" x14ac:dyDescent="0.35">
      <c r="B84" s="19"/>
      <c r="C84" s="19"/>
    </row>
    <row r="85" spans="2:3" s="10" customFormat="1" x14ac:dyDescent="0.35">
      <c r="B85" s="19"/>
      <c r="C85" s="19"/>
    </row>
    <row r="86" spans="2:3" s="10" customFormat="1" x14ac:dyDescent="0.35">
      <c r="B86" s="19"/>
      <c r="C86" s="19"/>
    </row>
    <row r="87" spans="2:3" s="10" customFormat="1" x14ac:dyDescent="0.35">
      <c r="B87" s="19"/>
      <c r="C87" s="19"/>
    </row>
    <row r="88" spans="2:3" s="10" customFormat="1" x14ac:dyDescent="0.35">
      <c r="B88" s="19"/>
      <c r="C88" s="19"/>
    </row>
    <row r="89" spans="2:3" s="10" customFormat="1" x14ac:dyDescent="0.35">
      <c r="B89" s="19"/>
      <c r="C89" s="19"/>
    </row>
    <row r="90" spans="2:3" s="10" customFormat="1" x14ac:dyDescent="0.35">
      <c r="B90" s="19"/>
      <c r="C90" s="19"/>
    </row>
    <row r="91" spans="2:3" s="10" customFormat="1" x14ac:dyDescent="0.35">
      <c r="B91" s="19"/>
      <c r="C91" s="19"/>
    </row>
    <row r="92" spans="2:3" s="10" customFormat="1" x14ac:dyDescent="0.35">
      <c r="B92" s="19"/>
      <c r="C92" s="19"/>
    </row>
    <row r="93" spans="2:3" s="10" customFormat="1" x14ac:dyDescent="0.35">
      <c r="B93" s="19"/>
      <c r="C93" s="19"/>
    </row>
    <row r="94" spans="2:3" s="10" customFormat="1" x14ac:dyDescent="0.35">
      <c r="B94" s="19"/>
      <c r="C94" s="19"/>
    </row>
    <row r="95" spans="2:3" s="10" customFormat="1" x14ac:dyDescent="0.35">
      <c r="B95" s="19"/>
      <c r="C95" s="19"/>
    </row>
    <row r="96" spans="2:3" s="10" customFormat="1" x14ac:dyDescent="0.35">
      <c r="B96" s="19"/>
      <c r="C96" s="19"/>
    </row>
    <row r="97" spans="2:3" s="10" customFormat="1" x14ac:dyDescent="0.35">
      <c r="B97" s="19"/>
      <c r="C97" s="19"/>
    </row>
    <row r="98" spans="2:3" s="10" customFormat="1" x14ac:dyDescent="0.35">
      <c r="B98" s="19"/>
      <c r="C98" s="19"/>
    </row>
    <row r="99" spans="2:3" s="10" customFormat="1" x14ac:dyDescent="0.35">
      <c r="B99" s="19"/>
      <c r="C99" s="19"/>
    </row>
    <row r="100" spans="2:3" s="10" customFormat="1" x14ac:dyDescent="0.35">
      <c r="B100" s="19"/>
      <c r="C100" s="19"/>
    </row>
    <row r="101" spans="2:3" s="10" customFormat="1" x14ac:dyDescent="0.35">
      <c r="B101" s="19"/>
      <c r="C101" s="19"/>
    </row>
    <row r="102" spans="2:3" s="10" customFormat="1" x14ac:dyDescent="0.35">
      <c r="B102" s="19"/>
      <c r="C102" s="19"/>
    </row>
    <row r="103" spans="2:3" s="10" customFormat="1" x14ac:dyDescent="0.35">
      <c r="B103" s="19"/>
      <c r="C103" s="19"/>
    </row>
    <row r="104" spans="2:3" s="10" customFormat="1" x14ac:dyDescent="0.35">
      <c r="B104" s="19"/>
      <c r="C104" s="19"/>
    </row>
    <row r="105" spans="2:3" s="10" customFormat="1" x14ac:dyDescent="0.35">
      <c r="B105" s="19"/>
      <c r="C105" s="19"/>
    </row>
    <row r="106" spans="2:3" s="10" customFormat="1" x14ac:dyDescent="0.35">
      <c r="B106" s="19"/>
      <c r="C106" s="19"/>
    </row>
    <row r="107" spans="2:3" s="10" customFormat="1" x14ac:dyDescent="0.35">
      <c r="B107" s="19"/>
      <c r="C107" s="19"/>
    </row>
    <row r="108" spans="2:3" s="10" customFormat="1" x14ac:dyDescent="0.35">
      <c r="B108" s="19"/>
      <c r="C108" s="19"/>
    </row>
    <row r="109" spans="2:3" s="10" customFormat="1" x14ac:dyDescent="0.35">
      <c r="B109" s="19"/>
      <c r="C109" s="19"/>
    </row>
    <row r="110" spans="2:3" s="10" customFormat="1" x14ac:dyDescent="0.35">
      <c r="B110" s="19"/>
      <c r="C110" s="19"/>
    </row>
    <row r="111" spans="2:3" s="10" customFormat="1" x14ac:dyDescent="0.35">
      <c r="B111" s="19"/>
      <c r="C111" s="19"/>
    </row>
    <row r="112" spans="2:3" s="10" customFormat="1" x14ac:dyDescent="0.35">
      <c r="B112" s="19"/>
      <c r="C112" s="19"/>
    </row>
    <row r="113" spans="2:3" s="10" customFormat="1" x14ac:dyDescent="0.35">
      <c r="B113" s="19"/>
      <c r="C113" s="19"/>
    </row>
    <row r="114" spans="2:3" s="10" customFormat="1" x14ac:dyDescent="0.35">
      <c r="B114" s="19"/>
      <c r="C114" s="19"/>
    </row>
    <row r="115" spans="2:3" s="10" customFormat="1" x14ac:dyDescent="0.35">
      <c r="B115" s="19"/>
      <c r="C115" s="19"/>
    </row>
    <row r="116" spans="2:3" s="10" customFormat="1" x14ac:dyDescent="0.35">
      <c r="B116" s="19"/>
      <c r="C116" s="19"/>
    </row>
    <row r="117" spans="2:3" s="10" customFormat="1" x14ac:dyDescent="0.35">
      <c r="B117" s="19"/>
      <c r="C117" s="19"/>
    </row>
    <row r="118" spans="2:3" s="10" customFormat="1" x14ac:dyDescent="0.35">
      <c r="B118" s="19"/>
      <c r="C118" s="19"/>
    </row>
    <row r="119" spans="2:3" s="10" customFormat="1" x14ac:dyDescent="0.35">
      <c r="B119" s="19"/>
      <c r="C119" s="19"/>
    </row>
    <row r="120" spans="2:3" s="10" customFormat="1" x14ac:dyDescent="0.35">
      <c r="B120" s="19"/>
      <c r="C120" s="19"/>
    </row>
    <row r="121" spans="2:3" s="10" customFormat="1" x14ac:dyDescent="0.35">
      <c r="B121" s="19"/>
      <c r="C121" s="19"/>
    </row>
    <row r="122" spans="2:3" s="10" customFormat="1" x14ac:dyDescent="0.35">
      <c r="B122" s="19"/>
      <c r="C122" s="19"/>
    </row>
    <row r="123" spans="2:3" s="10" customFormat="1" x14ac:dyDescent="0.35">
      <c r="B123" s="19"/>
      <c r="C123" s="19"/>
    </row>
    <row r="124" spans="2:3" s="10" customFormat="1" x14ac:dyDescent="0.35">
      <c r="B124" s="19"/>
      <c r="C124" s="19"/>
    </row>
    <row r="125" spans="2:3" s="10" customFormat="1" x14ac:dyDescent="0.35">
      <c r="B125" s="19"/>
      <c r="C125" s="19"/>
    </row>
    <row r="126" spans="2:3" s="10" customFormat="1" x14ac:dyDescent="0.35">
      <c r="B126" s="19"/>
      <c r="C126" s="19"/>
    </row>
    <row r="127" spans="2:3" s="10" customFormat="1" x14ac:dyDescent="0.35">
      <c r="B127" s="19"/>
      <c r="C127" s="19"/>
    </row>
    <row r="128" spans="2:3" s="10" customFormat="1" x14ac:dyDescent="0.35">
      <c r="B128" s="19"/>
      <c r="C128" s="19"/>
    </row>
    <row r="129" spans="2:3" s="10" customFormat="1" x14ac:dyDescent="0.35">
      <c r="B129" s="19"/>
      <c r="C129" s="19"/>
    </row>
    <row r="130" spans="2:3" s="10" customFormat="1" x14ac:dyDescent="0.35">
      <c r="B130" s="19"/>
      <c r="C130" s="19"/>
    </row>
    <row r="131" spans="2:3" s="10" customFormat="1" x14ac:dyDescent="0.35">
      <c r="B131" s="19"/>
      <c r="C131" s="19"/>
    </row>
    <row r="132" spans="2:3" s="10" customFormat="1" x14ac:dyDescent="0.35">
      <c r="B132" s="19"/>
      <c r="C132" s="19"/>
    </row>
    <row r="133" spans="2:3" s="10" customFormat="1" x14ac:dyDescent="0.35">
      <c r="B133" s="19"/>
      <c r="C133" s="19"/>
    </row>
    <row r="134" spans="2:3" s="10" customFormat="1" x14ac:dyDescent="0.35">
      <c r="B134" s="19"/>
      <c r="C134" s="19"/>
    </row>
    <row r="135" spans="2:3" s="10" customFormat="1" x14ac:dyDescent="0.35">
      <c r="B135" s="19"/>
      <c r="C135" s="19"/>
    </row>
    <row r="136" spans="2:3" s="10" customFormat="1" x14ac:dyDescent="0.35">
      <c r="B136" s="19"/>
      <c r="C136" s="19"/>
    </row>
    <row r="137" spans="2:3" s="10" customFormat="1" x14ac:dyDescent="0.35">
      <c r="B137" s="19"/>
      <c r="C137" s="19"/>
    </row>
    <row r="138" spans="2:3" s="10" customFormat="1" x14ac:dyDescent="0.35">
      <c r="B138" s="19"/>
      <c r="C138" s="19"/>
    </row>
    <row r="139" spans="2:3" s="10" customFormat="1" x14ac:dyDescent="0.35">
      <c r="B139" s="19"/>
      <c r="C139" s="19"/>
    </row>
    <row r="140" spans="2:3" s="10" customFormat="1" x14ac:dyDescent="0.35">
      <c r="B140" s="19"/>
      <c r="C140" s="19"/>
    </row>
    <row r="141" spans="2:3" s="10" customFormat="1" x14ac:dyDescent="0.35">
      <c r="B141" s="19"/>
      <c r="C141" s="19"/>
    </row>
    <row r="142" spans="2:3" s="10" customFormat="1" x14ac:dyDescent="0.35">
      <c r="B142" s="19"/>
      <c r="C142" s="19"/>
    </row>
    <row r="143" spans="2:3" s="10" customFormat="1" x14ac:dyDescent="0.35">
      <c r="B143" s="19"/>
      <c r="C143" s="19"/>
    </row>
    <row r="144" spans="2:3" s="10" customFormat="1" x14ac:dyDescent="0.35">
      <c r="B144" s="19"/>
      <c r="C144" s="19"/>
    </row>
    <row r="145" spans="2:3" s="10" customFormat="1" x14ac:dyDescent="0.35">
      <c r="B145" s="19"/>
      <c r="C145" s="19"/>
    </row>
    <row r="146" spans="2:3" s="10" customFormat="1" x14ac:dyDescent="0.35">
      <c r="B146" s="19"/>
      <c r="C146" s="19"/>
    </row>
    <row r="147" spans="2:3" s="10" customFormat="1" x14ac:dyDescent="0.35">
      <c r="B147" s="19"/>
      <c r="C147" s="19"/>
    </row>
    <row r="148" spans="2:3" s="10" customFormat="1" x14ac:dyDescent="0.35">
      <c r="B148" s="19"/>
      <c r="C148" s="19"/>
    </row>
    <row r="149" spans="2:3" s="10" customFormat="1" x14ac:dyDescent="0.35">
      <c r="B149" s="19"/>
      <c r="C149" s="19"/>
    </row>
    <row r="150" spans="2:3" s="10" customFormat="1" x14ac:dyDescent="0.35">
      <c r="B150" s="19"/>
      <c r="C150" s="19"/>
    </row>
    <row r="151" spans="2:3" s="10" customFormat="1" x14ac:dyDescent="0.35">
      <c r="B151" s="19"/>
      <c r="C151" s="19"/>
    </row>
    <row r="152" spans="2:3" s="10" customFormat="1" x14ac:dyDescent="0.35">
      <c r="B152" s="19"/>
      <c r="C152" s="19"/>
    </row>
    <row r="153" spans="2:3" s="10" customFormat="1" x14ac:dyDescent="0.35">
      <c r="B153" s="19"/>
      <c r="C153" s="19"/>
    </row>
    <row r="154" spans="2:3" s="10" customFormat="1" x14ac:dyDescent="0.35">
      <c r="B154" s="19"/>
      <c r="C154" s="19"/>
    </row>
    <row r="155" spans="2:3" s="10" customFormat="1" x14ac:dyDescent="0.35">
      <c r="B155" s="19"/>
      <c r="C155" s="19"/>
    </row>
    <row r="156" spans="2:3" s="10" customFormat="1" x14ac:dyDescent="0.35">
      <c r="B156" s="19"/>
      <c r="C156" s="19"/>
    </row>
    <row r="157" spans="2:3" s="10" customFormat="1" x14ac:dyDescent="0.35">
      <c r="B157" s="19"/>
      <c r="C157" s="19"/>
    </row>
    <row r="158" spans="2:3" s="10" customFormat="1" x14ac:dyDescent="0.35">
      <c r="B158" s="19"/>
      <c r="C158" s="19"/>
    </row>
    <row r="159" spans="2:3" s="10" customFormat="1" x14ac:dyDescent="0.35">
      <c r="B159" s="19"/>
      <c r="C159" s="19"/>
    </row>
    <row r="160" spans="2:3" s="10" customFormat="1" x14ac:dyDescent="0.35">
      <c r="B160" s="19"/>
      <c r="C160" s="19"/>
    </row>
    <row r="161" spans="2:3" s="10" customFormat="1" x14ac:dyDescent="0.35">
      <c r="B161" s="19"/>
      <c r="C161" s="19"/>
    </row>
    <row r="162" spans="2:3" s="10" customFormat="1" x14ac:dyDescent="0.35">
      <c r="B162" s="19"/>
      <c r="C162" s="19"/>
    </row>
    <row r="163" spans="2:3" s="10" customFormat="1" x14ac:dyDescent="0.35">
      <c r="B163" s="19"/>
      <c r="C163" s="19"/>
    </row>
    <row r="164" spans="2:3" s="10" customFormat="1" x14ac:dyDescent="0.35">
      <c r="B164" s="19"/>
      <c r="C164" s="19"/>
    </row>
    <row r="165" spans="2:3" s="10" customFormat="1" x14ac:dyDescent="0.35">
      <c r="B165" s="19"/>
      <c r="C165" s="19"/>
    </row>
    <row r="166" spans="2:3" s="10" customFormat="1" x14ac:dyDescent="0.35">
      <c r="B166" s="19"/>
      <c r="C166" s="19"/>
    </row>
    <row r="167" spans="2:3" s="10" customFormat="1" x14ac:dyDescent="0.35">
      <c r="B167" s="19"/>
      <c r="C167" s="19"/>
    </row>
    <row r="168" spans="2:3" s="10" customFormat="1" x14ac:dyDescent="0.35">
      <c r="B168" s="19"/>
      <c r="C168" s="19"/>
    </row>
    <row r="169" spans="2:3" s="10" customFormat="1" x14ac:dyDescent="0.35">
      <c r="B169" s="19"/>
      <c r="C169" s="19"/>
    </row>
    <row r="170" spans="2:3" s="10" customFormat="1" x14ac:dyDescent="0.35">
      <c r="B170" s="19"/>
      <c r="C170" s="19"/>
    </row>
    <row r="171" spans="2:3" s="10" customFormat="1" x14ac:dyDescent="0.35">
      <c r="B171" s="19"/>
      <c r="C171" s="19"/>
    </row>
    <row r="172" spans="2:3" s="10" customFormat="1" x14ac:dyDescent="0.35">
      <c r="B172" s="19"/>
      <c r="C172" s="19"/>
    </row>
    <row r="173" spans="2:3" s="10" customFormat="1" x14ac:dyDescent="0.35">
      <c r="B173" s="19"/>
      <c r="C173" s="19"/>
    </row>
    <row r="174" spans="2:3" s="10" customFormat="1" x14ac:dyDescent="0.35">
      <c r="B174" s="19"/>
      <c r="C174" s="19"/>
    </row>
    <row r="175" spans="2:3" s="10" customFormat="1" x14ac:dyDescent="0.35">
      <c r="B175" s="19"/>
      <c r="C175" s="19"/>
    </row>
    <row r="176" spans="2:3" s="10" customFormat="1" x14ac:dyDescent="0.35">
      <c r="B176" s="19"/>
      <c r="C176" s="19"/>
    </row>
    <row r="177" spans="2:3" s="10" customFormat="1" x14ac:dyDescent="0.35">
      <c r="B177" s="19"/>
      <c r="C177" s="19"/>
    </row>
    <row r="178" spans="2:3" s="10" customFormat="1" x14ac:dyDescent="0.35">
      <c r="B178" s="19"/>
      <c r="C178" s="19"/>
    </row>
    <row r="179" spans="2:3" s="10" customFormat="1" x14ac:dyDescent="0.35">
      <c r="B179" s="19"/>
      <c r="C179" s="19"/>
    </row>
    <row r="180" spans="2:3" s="10" customFormat="1" x14ac:dyDescent="0.35">
      <c r="B180" s="19"/>
      <c r="C180" s="19"/>
    </row>
    <row r="181" spans="2:3" s="10" customFormat="1" x14ac:dyDescent="0.35">
      <c r="B181" s="19"/>
      <c r="C181" s="19"/>
    </row>
    <row r="182" spans="2:3" s="10" customFormat="1" x14ac:dyDescent="0.35">
      <c r="B182" s="19"/>
      <c r="C182" s="19"/>
    </row>
    <row r="183" spans="2:3" s="10" customFormat="1" x14ac:dyDescent="0.35">
      <c r="B183" s="19"/>
      <c r="C183" s="19"/>
    </row>
    <row r="184" spans="2:3" s="10" customFormat="1" x14ac:dyDescent="0.35">
      <c r="B184" s="19"/>
      <c r="C184" s="19"/>
    </row>
    <row r="185" spans="2:3" s="10" customFormat="1" x14ac:dyDescent="0.35">
      <c r="B185" s="19"/>
      <c r="C185" s="19"/>
    </row>
    <row r="186" spans="2:3" s="10" customFormat="1" x14ac:dyDescent="0.35">
      <c r="B186" s="19"/>
      <c r="C186" s="19"/>
    </row>
    <row r="187" spans="2:3" s="10" customFormat="1" x14ac:dyDescent="0.35">
      <c r="B187" s="19"/>
      <c r="C187" s="19"/>
    </row>
    <row r="188" spans="2:3" s="10" customFormat="1" x14ac:dyDescent="0.35">
      <c r="B188" s="19"/>
      <c r="C188" s="19"/>
    </row>
    <row r="189" spans="2:3" s="10" customFormat="1" x14ac:dyDescent="0.35">
      <c r="B189" s="19"/>
      <c r="C189" s="19"/>
    </row>
    <row r="190" spans="2:3" s="10" customFormat="1" x14ac:dyDescent="0.35">
      <c r="B190" s="19"/>
      <c r="C190" s="19"/>
    </row>
    <row r="191" spans="2:3" s="10" customFormat="1" x14ac:dyDescent="0.35">
      <c r="B191" s="19"/>
      <c r="C191" s="19"/>
    </row>
    <row r="192" spans="2:3" s="10" customFormat="1" x14ac:dyDescent="0.35">
      <c r="B192" s="19"/>
      <c r="C192" s="19"/>
    </row>
    <row r="193" spans="2:3" s="10" customFormat="1" x14ac:dyDescent="0.35">
      <c r="B193" s="19"/>
      <c r="C193" s="19"/>
    </row>
    <row r="194" spans="2:3" s="10" customFormat="1" x14ac:dyDescent="0.35">
      <c r="B194" s="19"/>
      <c r="C194" s="19"/>
    </row>
    <row r="195" spans="2:3" s="10" customFormat="1" x14ac:dyDescent="0.35">
      <c r="B195" s="19"/>
      <c r="C195" s="19"/>
    </row>
    <row r="196" spans="2:3" s="10" customFormat="1" x14ac:dyDescent="0.35">
      <c r="B196" s="19"/>
      <c r="C196" s="19"/>
    </row>
    <row r="197" spans="2:3" s="10" customFormat="1" x14ac:dyDescent="0.35">
      <c r="B197" s="19"/>
      <c r="C197" s="19"/>
    </row>
    <row r="198" spans="2:3" s="10" customFormat="1" x14ac:dyDescent="0.35">
      <c r="B198" s="19"/>
      <c r="C198" s="19"/>
    </row>
    <row r="199" spans="2:3" s="10" customFormat="1" x14ac:dyDescent="0.35">
      <c r="B199" s="19"/>
      <c r="C199" s="19"/>
    </row>
    <row r="200" spans="2:3" s="10" customFormat="1" x14ac:dyDescent="0.35">
      <c r="B200" s="19"/>
      <c r="C200" s="19"/>
    </row>
    <row r="201" spans="2:3" s="10" customFormat="1" x14ac:dyDescent="0.35">
      <c r="B201" s="19"/>
      <c r="C201" s="19"/>
    </row>
    <row r="202" spans="2:3" s="10" customFormat="1" x14ac:dyDescent="0.35">
      <c r="B202" s="19"/>
      <c r="C202" s="19"/>
    </row>
    <row r="203" spans="2:3" s="10" customFormat="1" x14ac:dyDescent="0.35">
      <c r="B203" s="19"/>
      <c r="C203" s="19"/>
    </row>
    <row r="204" spans="2:3" s="10" customFormat="1" x14ac:dyDescent="0.35">
      <c r="B204" s="19"/>
      <c r="C204" s="19"/>
    </row>
    <row r="205" spans="2:3" s="10" customFormat="1" x14ac:dyDescent="0.35">
      <c r="B205" s="19"/>
      <c r="C205" s="19"/>
    </row>
    <row r="206" spans="2:3" s="10" customFormat="1" x14ac:dyDescent="0.35">
      <c r="B206" s="19"/>
      <c r="C206" s="19"/>
    </row>
    <row r="207" spans="2:3" s="10" customFormat="1" x14ac:dyDescent="0.35">
      <c r="B207" s="19"/>
      <c r="C207" s="19"/>
    </row>
    <row r="208" spans="2:3" s="10" customFormat="1" x14ac:dyDescent="0.35">
      <c r="B208" s="19"/>
      <c r="C208" s="19"/>
    </row>
    <row r="209" spans="2:3" s="10" customFormat="1" x14ac:dyDescent="0.35">
      <c r="B209" s="19"/>
      <c r="C209" s="19"/>
    </row>
    <row r="210" spans="2:3" s="10" customFormat="1" x14ac:dyDescent="0.35">
      <c r="B210" s="19"/>
      <c r="C210" s="19"/>
    </row>
    <row r="211" spans="2:3" s="10" customFormat="1" x14ac:dyDescent="0.35">
      <c r="B211" s="19"/>
      <c r="C211" s="19"/>
    </row>
    <row r="212" spans="2:3" s="10" customFormat="1" x14ac:dyDescent="0.35">
      <c r="B212" s="19"/>
      <c r="C212" s="19"/>
    </row>
    <row r="213" spans="2:3" s="10" customFormat="1" x14ac:dyDescent="0.35">
      <c r="B213" s="19"/>
      <c r="C213" s="19"/>
    </row>
    <row r="214" spans="2:3" s="10" customFormat="1" x14ac:dyDescent="0.35">
      <c r="B214" s="19"/>
      <c r="C214" s="19"/>
    </row>
    <row r="215" spans="2:3" s="10" customFormat="1" x14ac:dyDescent="0.35">
      <c r="B215" s="19"/>
      <c r="C215" s="19"/>
    </row>
    <row r="216" spans="2:3" s="10" customFormat="1" x14ac:dyDescent="0.35">
      <c r="B216" s="19"/>
      <c r="C216" s="19"/>
    </row>
    <row r="217" spans="2:3" s="10" customFormat="1" x14ac:dyDescent="0.35">
      <c r="B217" s="19"/>
      <c r="C217" s="19"/>
    </row>
    <row r="218" spans="2:3" s="10" customFormat="1" x14ac:dyDescent="0.35">
      <c r="B218" s="19"/>
      <c r="C218" s="19"/>
    </row>
    <row r="219" spans="2:3" s="10" customFormat="1" x14ac:dyDescent="0.35">
      <c r="B219" s="19"/>
      <c r="C219" s="19"/>
    </row>
    <row r="220" spans="2:3" s="10" customFormat="1" x14ac:dyDescent="0.35">
      <c r="B220" s="19"/>
      <c r="C220" s="19"/>
    </row>
    <row r="221" spans="2:3" s="10" customFormat="1" x14ac:dyDescent="0.35">
      <c r="B221" s="19"/>
      <c r="C221" s="19"/>
    </row>
    <row r="222" spans="2:3" s="10" customFormat="1" x14ac:dyDescent="0.35">
      <c r="B222" s="19"/>
      <c r="C222" s="19"/>
    </row>
    <row r="223" spans="2:3" s="10" customFormat="1" x14ac:dyDescent="0.35">
      <c r="B223" s="19"/>
      <c r="C223" s="19"/>
    </row>
    <row r="224" spans="2:3" s="10" customFormat="1" x14ac:dyDescent="0.35">
      <c r="B224" s="19"/>
      <c r="C224" s="19"/>
    </row>
    <row r="225" spans="2:3" s="10" customFormat="1" x14ac:dyDescent="0.35">
      <c r="B225" s="19"/>
      <c r="C225" s="19"/>
    </row>
    <row r="226" spans="2:3" s="10" customFormat="1" x14ac:dyDescent="0.35">
      <c r="B226" s="19"/>
      <c r="C226" s="19"/>
    </row>
    <row r="227" spans="2:3" s="10" customFormat="1" x14ac:dyDescent="0.35">
      <c r="B227" s="19"/>
      <c r="C227" s="19"/>
    </row>
    <row r="228" spans="2:3" s="10" customFormat="1" x14ac:dyDescent="0.35">
      <c r="B228" s="19"/>
      <c r="C228" s="19"/>
    </row>
    <row r="229" spans="2:3" s="10" customFormat="1" x14ac:dyDescent="0.35">
      <c r="B229" s="19"/>
      <c r="C229" s="19"/>
    </row>
    <row r="230" spans="2:3" s="10" customFormat="1" x14ac:dyDescent="0.35">
      <c r="B230" s="19"/>
      <c r="C230" s="19"/>
    </row>
    <row r="231" spans="2:3" s="10" customFormat="1" x14ac:dyDescent="0.35">
      <c r="B231" s="19"/>
      <c r="C231" s="19"/>
    </row>
    <row r="232" spans="2:3" s="10" customFormat="1" x14ac:dyDescent="0.35">
      <c r="B232" s="19"/>
      <c r="C232" s="19"/>
    </row>
    <row r="233" spans="2:3" s="10" customFormat="1" x14ac:dyDescent="0.35">
      <c r="B233" s="19"/>
      <c r="C233" s="19"/>
    </row>
    <row r="234" spans="2:3" s="10" customFormat="1" x14ac:dyDescent="0.35">
      <c r="B234" s="19"/>
      <c r="C234" s="19"/>
    </row>
    <row r="235" spans="2:3" s="10" customFormat="1" x14ac:dyDescent="0.35">
      <c r="B235" s="19"/>
      <c r="C235" s="19"/>
    </row>
    <row r="236" spans="2:3" s="10" customFormat="1" x14ac:dyDescent="0.35">
      <c r="B236" s="19"/>
      <c r="C236" s="19"/>
    </row>
    <row r="237" spans="2:3" s="10" customFormat="1" x14ac:dyDescent="0.35">
      <c r="B237" s="19"/>
      <c r="C237" s="19"/>
    </row>
    <row r="238" spans="2:3" s="10" customFormat="1" x14ac:dyDescent="0.35">
      <c r="B238" s="19"/>
      <c r="C238" s="19"/>
    </row>
    <row r="239" spans="2:3" s="10" customFormat="1" x14ac:dyDescent="0.35">
      <c r="B239" s="19"/>
      <c r="C239" s="19"/>
    </row>
    <row r="240" spans="2:3" s="10" customFormat="1" x14ac:dyDescent="0.35">
      <c r="B240" s="19"/>
      <c r="C240" s="19"/>
    </row>
    <row r="241" spans="2:3" s="10" customFormat="1" x14ac:dyDescent="0.35">
      <c r="B241" s="19"/>
      <c r="C241" s="19"/>
    </row>
    <row r="242" spans="2:3" s="10" customFormat="1" x14ac:dyDescent="0.35">
      <c r="B242" s="19"/>
      <c r="C242" s="19"/>
    </row>
    <row r="243" spans="2:3" s="10" customFormat="1" x14ac:dyDescent="0.35">
      <c r="B243" s="19"/>
      <c r="C243" s="19"/>
    </row>
    <row r="244" spans="2:3" s="10" customFormat="1" x14ac:dyDescent="0.35">
      <c r="B244" s="19"/>
      <c r="C244" s="19"/>
    </row>
    <row r="245" spans="2:3" s="10" customFormat="1" x14ac:dyDescent="0.35">
      <c r="B245" s="19"/>
      <c r="C245" s="19"/>
    </row>
    <row r="246" spans="2:3" s="10" customFormat="1" x14ac:dyDescent="0.35">
      <c r="B246" s="19"/>
      <c r="C246" s="19"/>
    </row>
    <row r="247" spans="2:3" s="10" customFormat="1" x14ac:dyDescent="0.35">
      <c r="B247" s="19"/>
      <c r="C247" s="19"/>
    </row>
    <row r="248" spans="2:3" s="10" customFormat="1" x14ac:dyDescent="0.35">
      <c r="B248" s="19"/>
      <c r="C248" s="19"/>
    </row>
    <row r="249" spans="2:3" s="10" customFormat="1" x14ac:dyDescent="0.35">
      <c r="B249" s="19"/>
      <c r="C249" s="19"/>
    </row>
    <row r="250" spans="2:3" s="10" customFormat="1" x14ac:dyDescent="0.35">
      <c r="B250" s="19"/>
      <c r="C250" s="19"/>
    </row>
    <row r="251" spans="2:3" s="10" customFormat="1" x14ac:dyDescent="0.35">
      <c r="B251" s="19"/>
      <c r="C251" s="19"/>
    </row>
    <row r="252" spans="2:3" s="10" customFormat="1" x14ac:dyDescent="0.35">
      <c r="B252" s="19"/>
      <c r="C252" s="19"/>
    </row>
    <row r="253" spans="2:3" s="10" customFormat="1" x14ac:dyDescent="0.35">
      <c r="B253" s="19"/>
      <c r="C253" s="19"/>
    </row>
    <row r="254" spans="2:3" s="10" customFormat="1" x14ac:dyDescent="0.35">
      <c r="B254" s="19"/>
      <c r="C254" s="19"/>
    </row>
    <row r="255" spans="2:3" s="10" customFormat="1" x14ac:dyDescent="0.35">
      <c r="B255" s="19"/>
      <c r="C255" s="19"/>
    </row>
    <row r="256" spans="2:3" s="10" customFormat="1" x14ac:dyDescent="0.35">
      <c r="B256" s="19"/>
      <c r="C256" s="19"/>
    </row>
    <row r="257" spans="2:5" s="10" customFormat="1" x14ac:dyDescent="0.35">
      <c r="B257" s="19"/>
      <c r="C257" s="19"/>
    </row>
    <row r="258" spans="2:5" s="10" customFormat="1" x14ac:dyDescent="0.35">
      <c r="B258" s="19"/>
      <c r="C258" s="19"/>
    </row>
    <row r="259" spans="2:5" s="10" customFormat="1" x14ac:dyDescent="0.35">
      <c r="B259" s="19"/>
      <c r="C259" s="19"/>
    </row>
    <row r="260" spans="2:5" s="10" customFormat="1" x14ac:dyDescent="0.35">
      <c r="B260" s="19"/>
      <c r="C260" s="19"/>
    </row>
    <row r="261" spans="2:5" s="10" customFormat="1" x14ac:dyDescent="0.35">
      <c r="B261" s="19"/>
      <c r="C261" s="19"/>
    </row>
    <row r="262" spans="2:5" s="10" customFormat="1" x14ac:dyDescent="0.35">
      <c r="B262" s="19"/>
      <c r="C262" s="19"/>
    </row>
    <row r="263" spans="2:5" s="10" customFormat="1" x14ac:dyDescent="0.35">
      <c r="B263" s="19"/>
      <c r="C263" s="19"/>
    </row>
    <row r="264" spans="2:5" s="10" customFormat="1" x14ac:dyDescent="0.35">
      <c r="B264" s="19"/>
      <c r="C264" s="19"/>
    </row>
    <row r="265" spans="2:5" s="10" customFormat="1" x14ac:dyDescent="0.35">
      <c r="B265" s="19"/>
      <c r="C265" s="19"/>
    </row>
    <row r="266" spans="2:5" s="10" customFormat="1" x14ac:dyDescent="0.35">
      <c r="B266" s="20"/>
      <c r="C266" s="20"/>
      <c r="D266"/>
      <c r="E266"/>
    </row>
    <row r="267" spans="2:5" s="10" customFormat="1" x14ac:dyDescent="0.35">
      <c r="B267" s="20"/>
      <c r="C267" s="20"/>
      <c r="D267"/>
      <c r="E267"/>
    </row>
    <row r="268" spans="2:5" s="10" customFormat="1" x14ac:dyDescent="0.35">
      <c r="B268" s="20"/>
      <c r="C268" s="20"/>
      <c r="D268"/>
      <c r="E268"/>
    </row>
    <row r="269" spans="2:5" s="10" customFormat="1" x14ac:dyDescent="0.35">
      <c r="B269" s="20"/>
      <c r="C269" s="20"/>
      <c r="D269"/>
      <c r="E269"/>
    </row>
  </sheetData>
  <mergeCells count="3">
    <mergeCell ref="C3:C4"/>
    <mergeCell ref="B1:F1"/>
    <mergeCell ref="B3:B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49"/>
  <sheetViews>
    <sheetView showGridLines="0" zoomScale="64" zoomScaleNormal="64" workbookViewId="0">
      <selection activeCell="G27" sqref="G27"/>
    </sheetView>
  </sheetViews>
  <sheetFormatPr defaultColWidth="14.453125" defaultRowHeight="14.5" x14ac:dyDescent="0.35"/>
  <cols>
    <col min="1" max="1" width="11.7265625" style="1" customWidth="1"/>
    <col min="2" max="2" width="41.453125" style="1" customWidth="1"/>
    <col min="3" max="3" width="12.81640625" style="1" customWidth="1"/>
    <col min="4" max="4" width="20.26953125" style="1" customWidth="1"/>
    <col min="5" max="5" width="3.1796875" style="8" customWidth="1"/>
    <col min="6" max="8" width="17.7265625" style="1" customWidth="1"/>
    <col min="9" max="9" width="37.453125" style="1" customWidth="1"/>
    <col min="10" max="10" width="17.7265625" style="1" customWidth="1"/>
    <col min="11" max="27" width="14.453125" style="8"/>
    <col min="28" max="16384" width="14.453125" style="1"/>
  </cols>
  <sheetData>
    <row r="1" spans="1:27" s="59" customFormat="1" ht="15.5" x14ac:dyDescent="0.35">
      <c r="A1" s="60" t="s">
        <v>28</v>
      </c>
      <c r="B1" s="101"/>
      <c r="C1" s="101"/>
      <c r="D1" s="102"/>
      <c r="E1" s="40"/>
      <c r="F1" s="97" t="s">
        <v>29</v>
      </c>
      <c r="G1" s="98"/>
      <c r="H1" s="98"/>
      <c r="I1" s="99"/>
    </row>
    <row r="2" spans="1:27" s="59" customFormat="1" x14ac:dyDescent="0.35">
      <c r="A2" s="76" t="s">
        <v>25</v>
      </c>
      <c r="B2" s="95" t="s">
        <v>87</v>
      </c>
      <c r="C2" s="78"/>
      <c r="D2" s="79"/>
      <c r="E2" s="40"/>
      <c r="F2" s="121" t="s">
        <v>91</v>
      </c>
      <c r="G2" s="103" t="s">
        <v>93</v>
      </c>
      <c r="H2" s="104"/>
      <c r="I2" s="105"/>
    </row>
    <row r="3" spans="1:27" s="59" customFormat="1" ht="57.75" customHeight="1" x14ac:dyDescent="0.35">
      <c r="A3" s="77"/>
      <c r="B3" s="96"/>
      <c r="C3" s="80"/>
      <c r="D3" s="81"/>
      <c r="E3" s="40"/>
      <c r="F3" s="122"/>
      <c r="G3" s="106"/>
      <c r="H3" s="107"/>
      <c r="I3" s="108"/>
    </row>
    <row r="4" spans="1:27" s="59" customFormat="1" ht="15" customHeight="1" x14ac:dyDescent="0.35">
      <c r="A4" s="76" t="s">
        <v>26</v>
      </c>
      <c r="B4" s="83" t="s">
        <v>88</v>
      </c>
      <c r="C4" s="84"/>
      <c r="D4" s="85"/>
      <c r="E4" s="40"/>
      <c r="F4" s="121" t="s">
        <v>92</v>
      </c>
      <c r="G4" s="103" t="s">
        <v>94</v>
      </c>
      <c r="H4" s="104"/>
      <c r="I4" s="105"/>
    </row>
    <row r="5" spans="1:27" s="59" customFormat="1" ht="16.5" customHeight="1" x14ac:dyDescent="0.35">
      <c r="A5" s="77"/>
      <c r="B5" s="86"/>
      <c r="C5" s="87"/>
      <c r="D5" s="88"/>
      <c r="F5" s="122"/>
      <c r="G5" s="106"/>
      <c r="H5" s="107"/>
      <c r="I5" s="108"/>
    </row>
    <row r="6" spans="1:27" s="59" customFormat="1" ht="15" customHeight="1" x14ac:dyDescent="0.35">
      <c r="A6" s="76" t="s">
        <v>27</v>
      </c>
      <c r="B6" s="89" t="s">
        <v>89</v>
      </c>
      <c r="C6" s="90"/>
      <c r="D6" s="91"/>
      <c r="F6" s="119" t="s">
        <v>83</v>
      </c>
      <c r="G6" s="123" t="s">
        <v>90</v>
      </c>
      <c r="H6" s="124"/>
      <c r="I6" s="125"/>
    </row>
    <row r="7" spans="1:27" s="59" customFormat="1" ht="14.25" customHeight="1" x14ac:dyDescent="0.35">
      <c r="A7" s="82"/>
      <c r="B7" s="92"/>
      <c r="C7" s="93"/>
      <c r="D7" s="94"/>
      <c r="F7" s="120"/>
      <c r="G7" s="92"/>
      <c r="H7" s="93"/>
      <c r="I7" s="94"/>
    </row>
    <row r="8" spans="1:27" ht="14.25" customHeight="1" x14ac:dyDescent="0.35">
      <c r="E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 spans="1:27" x14ac:dyDescent="0.35">
      <c r="E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</row>
    <row r="10" spans="1:27" ht="15.5" x14ac:dyDescent="0.35">
      <c r="A10" s="60" t="s">
        <v>28</v>
      </c>
      <c r="B10" s="61"/>
      <c r="C10" s="61"/>
      <c r="D10" s="62"/>
      <c r="E10" s="100"/>
      <c r="F10" s="128" t="s">
        <v>29</v>
      </c>
      <c r="G10" s="129"/>
      <c r="H10" s="129"/>
      <c r="I10" s="130"/>
      <c r="J10" s="8"/>
    </row>
    <row r="11" spans="1:27" x14ac:dyDescent="0.35">
      <c r="A11" s="76" t="s">
        <v>25</v>
      </c>
      <c r="B11" s="78" t="s">
        <v>80</v>
      </c>
      <c r="C11" s="78"/>
      <c r="D11" s="79"/>
      <c r="E11" s="100"/>
      <c r="F11" s="113" t="s">
        <v>81</v>
      </c>
      <c r="G11" s="103" t="s">
        <v>85</v>
      </c>
      <c r="H11" s="104"/>
      <c r="I11" s="105"/>
      <c r="J11" s="8"/>
    </row>
    <row r="12" spans="1:27" ht="31" customHeight="1" x14ac:dyDescent="0.35">
      <c r="A12" s="77"/>
      <c r="B12" s="80"/>
      <c r="C12" s="80"/>
      <c r="D12" s="81"/>
      <c r="E12" s="100"/>
      <c r="F12" s="82"/>
      <c r="G12" s="106"/>
      <c r="H12" s="107"/>
      <c r="I12" s="10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spans="1:27" x14ac:dyDescent="0.35">
      <c r="A13" s="76" t="s">
        <v>26</v>
      </c>
      <c r="B13" s="114" t="s">
        <v>78</v>
      </c>
      <c r="C13" s="78"/>
      <c r="D13" s="79"/>
      <c r="E13" s="100"/>
      <c r="F13" s="119" t="s">
        <v>82</v>
      </c>
      <c r="G13" s="104" t="s">
        <v>86</v>
      </c>
      <c r="H13" s="104"/>
      <c r="I13" s="105"/>
      <c r="J13" s="8"/>
    </row>
    <row r="14" spans="1:27" ht="31" customHeight="1" x14ac:dyDescent="0.35">
      <c r="A14" s="77"/>
      <c r="B14" s="80"/>
      <c r="C14" s="80"/>
      <c r="D14" s="81"/>
      <c r="E14" s="100"/>
      <c r="F14" s="120"/>
      <c r="G14" s="107"/>
      <c r="H14" s="107"/>
      <c r="I14" s="10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spans="1:27" x14ac:dyDescent="0.35">
      <c r="A15" s="76" t="s">
        <v>27</v>
      </c>
      <c r="B15" s="90" t="s">
        <v>79</v>
      </c>
      <c r="C15" s="115"/>
      <c r="D15" s="116"/>
      <c r="E15" s="100"/>
      <c r="F15" s="119" t="s">
        <v>83</v>
      </c>
      <c r="G15" s="104" t="s">
        <v>84</v>
      </c>
      <c r="H15" s="109"/>
      <c r="I15" s="110"/>
      <c r="J15" s="8"/>
    </row>
    <row r="16" spans="1:27" x14ac:dyDescent="0.35">
      <c r="A16" s="82"/>
      <c r="B16" s="117"/>
      <c r="C16" s="117"/>
      <c r="D16" s="118"/>
      <c r="E16" s="38"/>
      <c r="F16" s="120"/>
      <c r="G16" s="111"/>
      <c r="H16" s="111"/>
      <c r="I16" s="112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spans="1:9" s="8" customFormat="1" x14ac:dyDescent="0.35"/>
    <row r="18" spans="1:9" s="8" customFormat="1" x14ac:dyDescent="0.35"/>
    <row r="19" spans="1:9" s="8" customFormat="1" ht="15.5" x14ac:dyDescent="0.35">
      <c r="A19" s="60" t="s">
        <v>28</v>
      </c>
      <c r="B19" s="61"/>
      <c r="C19" s="61"/>
      <c r="D19" s="62"/>
      <c r="E19" s="40"/>
      <c r="F19" s="128" t="s">
        <v>29</v>
      </c>
      <c r="G19" s="129"/>
      <c r="H19" s="129"/>
      <c r="I19" s="130"/>
    </row>
    <row r="20" spans="1:9" s="8" customFormat="1" x14ac:dyDescent="0.35">
      <c r="A20" s="76" t="s">
        <v>25</v>
      </c>
      <c r="B20" s="78" t="s">
        <v>95</v>
      </c>
      <c r="C20" s="78"/>
      <c r="D20" s="79"/>
      <c r="E20" s="40"/>
      <c r="F20" s="127" t="s">
        <v>96</v>
      </c>
      <c r="G20" s="123" t="s">
        <v>98</v>
      </c>
      <c r="H20" s="126"/>
      <c r="I20" s="127"/>
    </row>
    <row r="21" spans="1:9" s="28" customFormat="1" ht="36" customHeight="1" x14ac:dyDescent="0.35">
      <c r="A21" s="77"/>
      <c r="B21" s="80"/>
      <c r="C21" s="80"/>
      <c r="D21" s="81"/>
      <c r="E21" s="40"/>
      <c r="F21" s="118"/>
      <c r="G21" s="131"/>
      <c r="H21" s="117"/>
      <c r="I21" s="118"/>
    </row>
    <row r="22" spans="1:9" s="8" customFormat="1" x14ac:dyDescent="0.35">
      <c r="A22" s="76" t="s">
        <v>26</v>
      </c>
      <c r="B22" s="114" t="s">
        <v>100</v>
      </c>
      <c r="C22" s="78"/>
      <c r="D22" s="79"/>
      <c r="E22" s="40"/>
      <c r="F22" s="113" t="s">
        <v>97</v>
      </c>
      <c r="G22" s="124" t="s">
        <v>99</v>
      </c>
      <c r="H22" s="126"/>
      <c r="I22" s="127"/>
    </row>
    <row r="23" spans="1:9" s="28" customFormat="1" x14ac:dyDescent="0.35">
      <c r="A23" s="77"/>
      <c r="B23" s="80"/>
      <c r="C23" s="80"/>
      <c r="D23" s="81"/>
      <c r="F23" s="120"/>
      <c r="G23" s="117"/>
      <c r="H23" s="117"/>
      <c r="I23" s="118"/>
    </row>
    <row r="24" spans="1:9" s="8" customFormat="1" x14ac:dyDescent="0.35">
      <c r="A24" s="76" t="s">
        <v>27</v>
      </c>
      <c r="B24" s="90" t="s">
        <v>101</v>
      </c>
      <c r="C24" s="115"/>
      <c r="D24" s="116"/>
    </row>
    <row r="25" spans="1:9" s="28" customFormat="1" ht="34" customHeight="1" x14ac:dyDescent="0.35">
      <c r="A25" s="82"/>
      <c r="B25" s="117"/>
      <c r="C25" s="117"/>
      <c r="D25" s="118"/>
      <c r="F25" s="8"/>
      <c r="G25" s="8"/>
      <c r="H25" s="8"/>
      <c r="I25" s="8"/>
    </row>
    <row r="26" spans="1:9" s="8" customFormat="1" x14ac:dyDescent="0.35"/>
    <row r="27" spans="1:9" s="8" customFormat="1" x14ac:dyDescent="0.35"/>
    <row r="28" spans="1:9" s="8" customFormat="1" x14ac:dyDescent="0.35"/>
    <row r="29" spans="1:9" s="8" customFormat="1" x14ac:dyDescent="0.35"/>
    <row r="30" spans="1:9" s="8" customFormat="1" x14ac:dyDescent="0.35"/>
    <row r="31" spans="1:9" s="8" customFormat="1" x14ac:dyDescent="0.35"/>
    <row r="32" spans="1:9" s="8" customFormat="1" x14ac:dyDescent="0.35"/>
    <row r="33" s="8" customFormat="1" x14ac:dyDescent="0.35"/>
    <row r="34" s="8" customFormat="1" x14ac:dyDescent="0.35"/>
    <row r="35" s="8" customFormat="1" x14ac:dyDescent="0.35"/>
    <row r="36" s="8" customFormat="1" x14ac:dyDescent="0.35"/>
    <row r="37" s="8" customFormat="1" x14ac:dyDescent="0.35"/>
    <row r="38" s="8" customFormat="1" x14ac:dyDescent="0.35"/>
    <row r="39" s="8" customFormat="1" x14ac:dyDescent="0.35"/>
    <row r="40" s="8" customFormat="1" x14ac:dyDescent="0.35"/>
    <row r="41" s="8" customFormat="1" x14ac:dyDescent="0.35"/>
    <row r="42" s="8" customFormat="1" x14ac:dyDescent="0.35"/>
    <row r="43" s="8" customFormat="1" x14ac:dyDescent="0.35"/>
    <row r="44" s="8" customFormat="1" x14ac:dyDescent="0.35"/>
    <row r="45" s="8" customFormat="1" x14ac:dyDescent="0.35"/>
    <row r="46" s="8" customFormat="1" x14ac:dyDescent="0.35"/>
    <row r="47" s="8" customFormat="1" x14ac:dyDescent="0.35"/>
    <row r="48" s="8" customFormat="1" x14ac:dyDescent="0.35"/>
    <row r="49" s="8" customFormat="1" x14ac:dyDescent="0.35"/>
    <row r="50" s="8" customFormat="1" x14ac:dyDescent="0.35"/>
    <row r="51" s="8" customFormat="1" x14ac:dyDescent="0.35"/>
    <row r="52" s="8" customFormat="1" x14ac:dyDescent="0.35"/>
    <row r="53" s="8" customFormat="1" x14ac:dyDescent="0.35"/>
    <row r="54" s="8" customFormat="1" x14ac:dyDescent="0.35"/>
    <row r="55" s="8" customFormat="1" x14ac:dyDescent="0.35"/>
    <row r="56" s="8" customFormat="1" x14ac:dyDescent="0.35"/>
    <row r="57" s="8" customFormat="1" x14ac:dyDescent="0.35"/>
    <row r="58" s="8" customFormat="1" x14ac:dyDescent="0.35"/>
    <row r="59" s="8" customFormat="1" x14ac:dyDescent="0.35"/>
    <row r="60" s="8" customFormat="1" x14ac:dyDescent="0.35"/>
    <row r="61" s="8" customFormat="1" x14ac:dyDescent="0.35"/>
    <row r="62" s="8" customFormat="1" x14ac:dyDescent="0.35"/>
    <row r="63" s="8" customFormat="1" x14ac:dyDescent="0.35"/>
    <row r="64" s="8" customFormat="1" x14ac:dyDescent="0.35"/>
    <row r="65" s="8" customFormat="1" x14ac:dyDescent="0.35"/>
    <row r="66" s="8" customFormat="1" x14ac:dyDescent="0.35"/>
    <row r="67" s="8" customFormat="1" x14ac:dyDescent="0.35"/>
    <row r="68" s="8" customFormat="1" x14ac:dyDescent="0.35"/>
    <row r="69" s="8" customFormat="1" x14ac:dyDescent="0.35"/>
    <row r="70" s="8" customFormat="1" x14ac:dyDescent="0.35"/>
    <row r="71" s="8" customFormat="1" x14ac:dyDescent="0.35"/>
    <row r="72" s="8" customFormat="1" x14ac:dyDescent="0.35"/>
    <row r="73" s="8" customFormat="1" x14ac:dyDescent="0.35"/>
    <row r="74" s="8" customFormat="1" x14ac:dyDescent="0.35"/>
    <row r="75" s="8" customFormat="1" x14ac:dyDescent="0.35"/>
    <row r="76" s="8" customFormat="1" x14ac:dyDescent="0.35"/>
    <row r="77" s="8" customFormat="1" x14ac:dyDescent="0.35"/>
    <row r="78" s="8" customFormat="1" x14ac:dyDescent="0.35"/>
    <row r="79" s="8" customFormat="1" x14ac:dyDescent="0.35"/>
    <row r="80" s="8" customFormat="1" x14ac:dyDescent="0.35"/>
    <row r="81" s="8" customFormat="1" x14ac:dyDescent="0.35"/>
    <row r="82" s="8" customFormat="1" x14ac:dyDescent="0.35"/>
    <row r="83" s="8" customFormat="1" x14ac:dyDescent="0.35"/>
    <row r="84" s="8" customFormat="1" x14ac:dyDescent="0.35"/>
    <row r="85" s="8" customFormat="1" x14ac:dyDescent="0.35"/>
    <row r="86" s="8" customFormat="1" x14ac:dyDescent="0.35"/>
    <row r="87" s="8" customFormat="1" x14ac:dyDescent="0.35"/>
    <row r="88" s="8" customFormat="1" x14ac:dyDescent="0.35"/>
    <row r="89" s="8" customFormat="1" x14ac:dyDescent="0.35"/>
    <row r="90" s="8" customFormat="1" x14ac:dyDescent="0.35"/>
    <row r="91" s="8" customFormat="1" x14ac:dyDescent="0.35"/>
    <row r="92" s="8" customFormat="1" x14ac:dyDescent="0.35"/>
    <row r="93" s="8" customFormat="1" x14ac:dyDescent="0.35"/>
    <row r="94" s="8" customFormat="1" x14ac:dyDescent="0.35"/>
    <row r="95" s="8" customFormat="1" x14ac:dyDescent="0.35"/>
    <row r="96" s="8" customFormat="1" x14ac:dyDescent="0.35"/>
    <row r="97" s="8" customFormat="1" x14ac:dyDescent="0.35"/>
    <row r="98" s="8" customFormat="1" x14ac:dyDescent="0.35"/>
    <row r="99" s="8" customFormat="1" x14ac:dyDescent="0.35"/>
    <row r="100" s="8" customFormat="1" x14ac:dyDescent="0.35"/>
    <row r="101" s="8" customFormat="1" x14ac:dyDescent="0.35"/>
    <row r="102" s="8" customFormat="1" x14ac:dyDescent="0.35"/>
    <row r="103" s="8" customFormat="1" x14ac:dyDescent="0.35"/>
    <row r="104" s="8" customFormat="1" x14ac:dyDescent="0.35"/>
    <row r="105" s="8" customFormat="1" x14ac:dyDescent="0.35"/>
    <row r="106" s="8" customFormat="1" x14ac:dyDescent="0.35"/>
    <row r="107" s="8" customFormat="1" x14ac:dyDescent="0.35"/>
    <row r="108" s="8" customFormat="1" x14ac:dyDescent="0.35"/>
    <row r="109" s="8" customFormat="1" x14ac:dyDescent="0.35"/>
    <row r="110" s="8" customFormat="1" x14ac:dyDescent="0.35"/>
    <row r="111" s="8" customFormat="1" x14ac:dyDescent="0.35"/>
    <row r="112" s="8" customFormat="1" x14ac:dyDescent="0.35"/>
    <row r="113" s="8" customFormat="1" x14ac:dyDescent="0.35"/>
    <row r="114" s="8" customFormat="1" x14ac:dyDescent="0.35"/>
    <row r="115" s="8" customFormat="1" x14ac:dyDescent="0.35"/>
    <row r="116" s="8" customFormat="1" x14ac:dyDescent="0.35"/>
    <row r="117" s="8" customFormat="1" x14ac:dyDescent="0.35"/>
    <row r="118" s="8" customFormat="1" x14ac:dyDescent="0.35"/>
    <row r="119" s="8" customFormat="1" x14ac:dyDescent="0.35"/>
    <row r="120" s="8" customFormat="1" x14ac:dyDescent="0.35"/>
    <row r="121" s="8" customFormat="1" x14ac:dyDescent="0.35"/>
    <row r="122" s="8" customFormat="1" x14ac:dyDescent="0.35"/>
    <row r="123" s="8" customFormat="1" x14ac:dyDescent="0.35"/>
    <row r="124" s="8" customFormat="1" x14ac:dyDescent="0.35"/>
    <row r="125" s="8" customFormat="1" x14ac:dyDescent="0.35"/>
    <row r="126" s="8" customFormat="1" x14ac:dyDescent="0.35"/>
    <row r="127" s="8" customFormat="1" x14ac:dyDescent="0.35"/>
    <row r="128" s="8" customFormat="1" x14ac:dyDescent="0.35"/>
    <row r="129" s="8" customFormat="1" x14ac:dyDescent="0.35"/>
    <row r="130" s="8" customFormat="1" x14ac:dyDescent="0.35"/>
    <row r="131" s="8" customFormat="1" x14ac:dyDescent="0.35"/>
    <row r="132" s="8" customFormat="1" x14ac:dyDescent="0.35"/>
    <row r="133" s="8" customFormat="1" x14ac:dyDescent="0.35"/>
    <row r="134" s="8" customFormat="1" x14ac:dyDescent="0.35"/>
    <row r="135" s="8" customFormat="1" x14ac:dyDescent="0.35"/>
    <row r="136" s="8" customFormat="1" x14ac:dyDescent="0.35"/>
    <row r="137" s="8" customFormat="1" x14ac:dyDescent="0.35"/>
    <row r="138" s="8" customFormat="1" x14ac:dyDescent="0.35"/>
    <row r="139" s="8" customFormat="1" x14ac:dyDescent="0.35"/>
    <row r="140" s="8" customFormat="1" x14ac:dyDescent="0.35"/>
    <row r="141" s="8" customFormat="1" x14ac:dyDescent="0.35"/>
    <row r="142" s="8" customFormat="1" x14ac:dyDescent="0.35"/>
    <row r="143" s="8" customFormat="1" x14ac:dyDescent="0.35"/>
    <row r="144" s="8" customFormat="1" x14ac:dyDescent="0.35"/>
    <row r="145" spans="6:9" s="8" customFormat="1" x14ac:dyDescent="0.35"/>
    <row r="146" spans="6:9" s="8" customFormat="1" x14ac:dyDescent="0.35"/>
    <row r="147" spans="6:9" s="8" customFormat="1" x14ac:dyDescent="0.35"/>
    <row r="148" spans="6:9" s="8" customFormat="1" x14ac:dyDescent="0.35">
      <c r="F148" s="1"/>
      <c r="G148" s="1"/>
      <c r="H148" s="1"/>
      <c r="I148" s="1"/>
    </row>
    <row r="149" spans="6:9" s="8" customFormat="1" x14ac:dyDescent="0.35">
      <c r="F149" s="1"/>
      <c r="G149" s="1"/>
      <c r="H149" s="1"/>
      <c r="I149" s="1"/>
    </row>
  </sheetData>
  <mergeCells count="41">
    <mergeCell ref="G4:I5"/>
    <mergeCell ref="F6:F7"/>
    <mergeCell ref="G6:I7"/>
    <mergeCell ref="F22:F23"/>
    <mergeCell ref="G22:I23"/>
    <mergeCell ref="F19:I19"/>
    <mergeCell ref="F20:F21"/>
    <mergeCell ref="G20:I21"/>
    <mergeCell ref="F10:I10"/>
    <mergeCell ref="A20:A21"/>
    <mergeCell ref="B20:D21"/>
    <mergeCell ref="A22:A23"/>
    <mergeCell ref="B22:D23"/>
    <mergeCell ref="A24:A25"/>
    <mergeCell ref="B24:D25"/>
    <mergeCell ref="F1:I1"/>
    <mergeCell ref="A10:D10"/>
    <mergeCell ref="E10:E15"/>
    <mergeCell ref="A1:D1"/>
    <mergeCell ref="G11:I12"/>
    <mergeCell ref="G13:I14"/>
    <mergeCell ref="G15:I16"/>
    <mergeCell ref="F11:F12"/>
    <mergeCell ref="B13:D14"/>
    <mergeCell ref="B15:D16"/>
    <mergeCell ref="F13:F14"/>
    <mergeCell ref="F15:F16"/>
    <mergeCell ref="F2:F3"/>
    <mergeCell ref="G2:I3"/>
    <mergeCell ref="F4:F5"/>
    <mergeCell ref="A2:A3"/>
    <mergeCell ref="A4:A5"/>
    <mergeCell ref="A6:A7"/>
    <mergeCell ref="B4:D5"/>
    <mergeCell ref="B6:D7"/>
    <mergeCell ref="B2:D3"/>
    <mergeCell ref="A19:D19"/>
    <mergeCell ref="A11:A12"/>
    <mergeCell ref="B11:D12"/>
    <mergeCell ref="A13:A14"/>
    <mergeCell ref="A15:A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72"/>
  <sheetViews>
    <sheetView workbookViewId="0">
      <selection activeCell="B13" sqref="B13"/>
    </sheetView>
  </sheetViews>
  <sheetFormatPr defaultColWidth="14.453125" defaultRowHeight="14.5" x14ac:dyDescent="0.35"/>
  <cols>
    <col min="1" max="1" width="11.7265625" style="1" customWidth="1"/>
    <col min="2" max="2" width="74.26953125" style="1" customWidth="1"/>
    <col min="3" max="3" width="12.81640625" style="1" customWidth="1"/>
    <col min="4" max="4" width="25.453125" style="1" customWidth="1"/>
    <col min="5" max="5" width="3.1796875" style="2" customWidth="1"/>
    <col min="6" max="27" width="14.453125" style="2"/>
    <col min="28" max="16384" width="14.453125" style="1"/>
  </cols>
  <sheetData>
    <row r="1" spans="1:27" ht="15.5" x14ac:dyDescent="0.35">
      <c r="A1" s="60" t="s">
        <v>7</v>
      </c>
      <c r="B1" s="61"/>
      <c r="C1" s="61"/>
      <c r="D1" s="62"/>
      <c r="E1" s="63"/>
    </row>
    <row r="2" spans="1:27" x14ac:dyDescent="0.35">
      <c r="A2" s="132" t="s">
        <v>64</v>
      </c>
      <c r="B2" s="132"/>
      <c r="C2" s="132"/>
      <c r="D2" s="133"/>
      <c r="E2" s="63"/>
    </row>
    <row r="3" spans="1:27" ht="32.25" customHeight="1" x14ac:dyDescent="0.35">
      <c r="A3" s="132" t="s">
        <v>65</v>
      </c>
      <c r="B3" s="132"/>
      <c r="C3" s="132"/>
      <c r="D3" s="133"/>
      <c r="E3" s="63"/>
      <c r="F3" s="9" t="s">
        <v>23</v>
      </c>
    </row>
    <row r="4" spans="1:27" ht="15.5" x14ac:dyDescent="0.35">
      <c r="A4" s="66" t="s">
        <v>10</v>
      </c>
      <c r="B4" s="67"/>
      <c r="C4" s="67"/>
      <c r="D4" s="68"/>
      <c r="E4" s="63"/>
      <c r="F4" s="9" t="s">
        <v>24</v>
      </c>
    </row>
    <row r="5" spans="1:27" x14ac:dyDescent="0.35">
      <c r="A5" s="64"/>
      <c r="B5" s="64"/>
      <c r="C5" s="134"/>
      <c r="D5" s="69"/>
      <c r="E5" s="63"/>
    </row>
    <row r="6" spans="1:27" s="16" customFormat="1" ht="15.5" x14ac:dyDescent="0.35">
      <c r="A6" s="11" t="s">
        <v>1</v>
      </c>
      <c r="B6" s="12" t="s">
        <v>3</v>
      </c>
      <c r="C6" s="14" t="s">
        <v>6</v>
      </c>
      <c r="D6" s="14" t="s">
        <v>9</v>
      </c>
      <c r="E6" s="63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ht="15.5" x14ac:dyDescent="0.35">
      <c r="A7" s="3">
        <v>1</v>
      </c>
      <c r="B7" s="4" t="s">
        <v>66</v>
      </c>
      <c r="C7" s="5" t="s">
        <v>49</v>
      </c>
      <c r="D7" s="182">
        <v>44241</v>
      </c>
      <c r="E7" s="63"/>
    </row>
    <row r="8" spans="1:27" ht="15.5" x14ac:dyDescent="0.35">
      <c r="A8" s="6">
        <v>2</v>
      </c>
      <c r="B8" s="4" t="s">
        <v>68</v>
      </c>
      <c r="C8" s="5" t="s">
        <v>48</v>
      </c>
      <c r="D8" s="182">
        <v>44244</v>
      </c>
      <c r="E8" s="63"/>
    </row>
    <row r="9" spans="1:27" ht="15.5" x14ac:dyDescent="0.35">
      <c r="A9" s="6">
        <v>3</v>
      </c>
      <c r="B9" s="4" t="s">
        <v>69</v>
      </c>
      <c r="C9" s="7" t="s">
        <v>67</v>
      </c>
      <c r="D9" s="37" t="s">
        <v>102</v>
      </c>
      <c r="E9" s="63"/>
    </row>
    <row r="10" spans="1:27" ht="15.5" x14ac:dyDescent="0.35">
      <c r="A10" s="6">
        <v>4</v>
      </c>
      <c r="B10" s="4" t="s">
        <v>70</v>
      </c>
      <c r="C10" s="5" t="s">
        <v>48</v>
      </c>
      <c r="D10" s="37" t="s">
        <v>102</v>
      </c>
      <c r="E10" s="63"/>
      <c r="F10" s="9"/>
    </row>
    <row r="11" spans="1:27" ht="15.5" x14ac:dyDescent="0.35">
      <c r="A11" s="6">
        <v>5</v>
      </c>
      <c r="B11" s="4" t="s">
        <v>71</v>
      </c>
      <c r="C11" s="5" t="s">
        <v>48</v>
      </c>
      <c r="D11" s="37" t="s">
        <v>102</v>
      </c>
      <c r="E11" s="63"/>
    </row>
    <row r="12" spans="1:27" ht="15.5" x14ac:dyDescent="0.35">
      <c r="A12" s="6">
        <v>6</v>
      </c>
      <c r="B12" s="4"/>
      <c r="C12" s="36"/>
      <c r="D12" s="37"/>
      <c r="E12" s="63"/>
    </row>
    <row r="13" spans="1:27" ht="15.5" x14ac:dyDescent="0.35">
      <c r="A13" s="6">
        <v>7</v>
      </c>
      <c r="B13" s="4"/>
      <c r="C13" s="36"/>
      <c r="D13" s="37"/>
      <c r="E13" s="63"/>
    </row>
    <row r="14" spans="1:27" ht="15.5" x14ac:dyDescent="0.35">
      <c r="A14" s="6">
        <v>8</v>
      </c>
      <c r="B14" s="21"/>
      <c r="C14" s="36"/>
      <c r="D14" s="37"/>
      <c r="E14" s="63"/>
    </row>
    <row r="15" spans="1:27" s="2" customFormat="1" x14ac:dyDescent="0.35"/>
    <row r="16" spans="1:27" s="2" customFormat="1" x14ac:dyDescent="0.35"/>
    <row r="17" s="2" customFormat="1" x14ac:dyDescent="0.35"/>
    <row r="18" s="2" customFormat="1" x14ac:dyDescent="0.35"/>
    <row r="19" s="2" customFormat="1" x14ac:dyDescent="0.35"/>
    <row r="20" s="2" customFormat="1" x14ac:dyDescent="0.35"/>
    <row r="21" s="2" customFormat="1" x14ac:dyDescent="0.35"/>
    <row r="22" s="2" customFormat="1" x14ac:dyDescent="0.35"/>
    <row r="23" s="2" customFormat="1" x14ac:dyDescent="0.35"/>
    <row r="24" s="2" customFormat="1" x14ac:dyDescent="0.35"/>
    <row r="25" s="2" customFormat="1" x14ac:dyDescent="0.35"/>
    <row r="26" s="2" customFormat="1" x14ac:dyDescent="0.35"/>
    <row r="27" s="2" customFormat="1" x14ac:dyDescent="0.35"/>
    <row r="28" s="2" customFormat="1" x14ac:dyDescent="0.35"/>
    <row r="29" s="2" customFormat="1" x14ac:dyDescent="0.35"/>
    <row r="30" s="2" customFormat="1" x14ac:dyDescent="0.35"/>
    <row r="31" s="2" customFormat="1" x14ac:dyDescent="0.35"/>
    <row r="32" s="2" customFormat="1" x14ac:dyDescent="0.35"/>
    <row r="33" s="2" customFormat="1" x14ac:dyDescent="0.35"/>
    <row r="34" s="2" customFormat="1" x14ac:dyDescent="0.35"/>
    <row r="35" s="2" customFormat="1" x14ac:dyDescent="0.35"/>
    <row r="36" s="2" customFormat="1" x14ac:dyDescent="0.35"/>
    <row r="37" s="2" customFormat="1" x14ac:dyDescent="0.35"/>
    <row r="38" s="2" customFormat="1" x14ac:dyDescent="0.35"/>
    <row r="39" s="2" customFormat="1" x14ac:dyDescent="0.35"/>
    <row r="40" s="2" customFormat="1" x14ac:dyDescent="0.35"/>
    <row r="41" s="2" customFormat="1" x14ac:dyDescent="0.35"/>
    <row r="42" s="2" customFormat="1" x14ac:dyDescent="0.35"/>
    <row r="43" s="2" customFormat="1" x14ac:dyDescent="0.35"/>
    <row r="44" s="2" customFormat="1" x14ac:dyDescent="0.35"/>
    <row r="45" s="2" customFormat="1" x14ac:dyDescent="0.35"/>
    <row r="46" s="2" customFormat="1" x14ac:dyDescent="0.35"/>
    <row r="47" s="2" customFormat="1" x14ac:dyDescent="0.35"/>
    <row r="48" s="2" customFormat="1" x14ac:dyDescent="0.35"/>
    <row r="49" s="2" customFormat="1" x14ac:dyDescent="0.35"/>
    <row r="50" s="2" customFormat="1" x14ac:dyDescent="0.35"/>
    <row r="51" s="2" customFormat="1" x14ac:dyDescent="0.35"/>
    <row r="52" s="2" customFormat="1" x14ac:dyDescent="0.35"/>
    <row r="53" s="2" customFormat="1" x14ac:dyDescent="0.35"/>
    <row r="54" s="2" customFormat="1" x14ac:dyDescent="0.35"/>
    <row r="55" s="2" customFormat="1" x14ac:dyDescent="0.35"/>
    <row r="56" s="2" customFormat="1" x14ac:dyDescent="0.35"/>
    <row r="57" s="2" customFormat="1" x14ac:dyDescent="0.35"/>
    <row r="58" s="2" customFormat="1" x14ac:dyDescent="0.35"/>
    <row r="59" s="2" customFormat="1" x14ac:dyDescent="0.35"/>
    <row r="60" s="2" customFormat="1" x14ac:dyDescent="0.35"/>
    <row r="61" s="2" customFormat="1" x14ac:dyDescent="0.35"/>
    <row r="62" s="2" customFormat="1" x14ac:dyDescent="0.35"/>
    <row r="63" s="2" customFormat="1" x14ac:dyDescent="0.35"/>
    <row r="64" s="2" customFormat="1" x14ac:dyDescent="0.35"/>
    <row r="65" s="2" customFormat="1" x14ac:dyDescent="0.35"/>
    <row r="66" s="2" customFormat="1" x14ac:dyDescent="0.35"/>
    <row r="67" s="2" customFormat="1" x14ac:dyDescent="0.35"/>
    <row r="68" s="2" customFormat="1" x14ac:dyDescent="0.35"/>
    <row r="69" s="2" customFormat="1" x14ac:dyDescent="0.35"/>
    <row r="70" s="2" customFormat="1" x14ac:dyDescent="0.35"/>
    <row r="71" s="2" customFormat="1" x14ac:dyDescent="0.35"/>
    <row r="72" s="2" customFormat="1" x14ac:dyDescent="0.35"/>
    <row r="73" s="2" customFormat="1" x14ac:dyDescent="0.35"/>
    <row r="74" s="2" customFormat="1" x14ac:dyDescent="0.35"/>
    <row r="75" s="2" customFormat="1" x14ac:dyDescent="0.35"/>
    <row r="76" s="2" customFormat="1" x14ac:dyDescent="0.35"/>
    <row r="77" s="2" customFormat="1" x14ac:dyDescent="0.35"/>
    <row r="78" s="2" customFormat="1" x14ac:dyDescent="0.35"/>
    <row r="79" s="2" customFormat="1" x14ac:dyDescent="0.35"/>
    <row r="80" s="2" customFormat="1" x14ac:dyDescent="0.35"/>
    <row r="81" s="2" customFormat="1" x14ac:dyDescent="0.35"/>
    <row r="82" s="2" customFormat="1" x14ac:dyDescent="0.35"/>
    <row r="83" s="2" customFormat="1" x14ac:dyDescent="0.35"/>
    <row r="84" s="2" customFormat="1" x14ac:dyDescent="0.35"/>
    <row r="85" s="2" customFormat="1" x14ac:dyDescent="0.35"/>
    <row r="86" s="2" customFormat="1" x14ac:dyDescent="0.35"/>
    <row r="87" s="2" customFormat="1" x14ac:dyDescent="0.35"/>
    <row r="88" s="2" customFormat="1" x14ac:dyDescent="0.35"/>
    <row r="89" s="2" customFormat="1" x14ac:dyDescent="0.35"/>
    <row r="90" s="2" customFormat="1" x14ac:dyDescent="0.35"/>
    <row r="91" s="2" customFormat="1" x14ac:dyDescent="0.35"/>
    <row r="92" s="2" customFormat="1" x14ac:dyDescent="0.35"/>
    <row r="93" s="2" customFormat="1" x14ac:dyDescent="0.35"/>
    <row r="94" s="2" customFormat="1" x14ac:dyDescent="0.35"/>
    <row r="95" s="2" customFormat="1" x14ac:dyDescent="0.35"/>
    <row r="96" s="2" customFormat="1" x14ac:dyDescent="0.35"/>
    <row r="97" s="2" customFormat="1" x14ac:dyDescent="0.35"/>
    <row r="98" s="2" customFormat="1" x14ac:dyDescent="0.35"/>
    <row r="99" s="2" customFormat="1" x14ac:dyDescent="0.35"/>
    <row r="100" s="2" customFormat="1" x14ac:dyDescent="0.35"/>
    <row r="101" s="2" customFormat="1" x14ac:dyDescent="0.35"/>
    <row r="102" s="2" customFormat="1" x14ac:dyDescent="0.35"/>
    <row r="103" s="2" customFormat="1" x14ac:dyDescent="0.35"/>
    <row r="104" s="2" customFormat="1" x14ac:dyDescent="0.35"/>
    <row r="105" s="2" customFormat="1" x14ac:dyDescent="0.35"/>
    <row r="106" s="2" customFormat="1" x14ac:dyDescent="0.35"/>
    <row r="107" s="2" customFormat="1" x14ac:dyDescent="0.35"/>
    <row r="108" s="2" customFormat="1" x14ac:dyDescent="0.35"/>
    <row r="109" s="2" customFormat="1" x14ac:dyDescent="0.35"/>
    <row r="110" s="2" customFormat="1" x14ac:dyDescent="0.35"/>
    <row r="111" s="2" customFormat="1" x14ac:dyDescent="0.35"/>
    <row r="112" s="2" customFormat="1" x14ac:dyDescent="0.35"/>
    <row r="113" s="2" customFormat="1" x14ac:dyDescent="0.35"/>
    <row r="114" s="2" customFormat="1" x14ac:dyDescent="0.35"/>
    <row r="115" s="2" customFormat="1" x14ac:dyDescent="0.35"/>
    <row r="116" s="2" customFormat="1" x14ac:dyDescent="0.35"/>
    <row r="117" s="2" customFormat="1" x14ac:dyDescent="0.35"/>
    <row r="118" s="2" customFormat="1" x14ac:dyDescent="0.35"/>
    <row r="119" s="2" customFormat="1" x14ac:dyDescent="0.35"/>
    <row r="120" s="2" customFormat="1" x14ac:dyDescent="0.35"/>
    <row r="121" s="2" customFormat="1" x14ac:dyDescent="0.35"/>
    <row r="122" s="2" customFormat="1" x14ac:dyDescent="0.35"/>
    <row r="123" s="2" customFormat="1" x14ac:dyDescent="0.35"/>
    <row r="124" s="2" customFormat="1" x14ac:dyDescent="0.35"/>
    <row r="125" s="2" customFormat="1" x14ac:dyDescent="0.35"/>
    <row r="126" s="2" customFormat="1" x14ac:dyDescent="0.35"/>
    <row r="127" s="2" customFormat="1" x14ac:dyDescent="0.35"/>
    <row r="128" s="2" customFormat="1" x14ac:dyDescent="0.35"/>
    <row r="129" s="2" customFormat="1" x14ac:dyDescent="0.35"/>
    <row r="130" s="2" customFormat="1" x14ac:dyDescent="0.35"/>
    <row r="131" s="2" customFormat="1" x14ac:dyDescent="0.35"/>
    <row r="132" s="2" customFormat="1" x14ac:dyDescent="0.35"/>
    <row r="133" s="2" customFormat="1" x14ac:dyDescent="0.35"/>
    <row r="134" s="2" customFormat="1" x14ac:dyDescent="0.35"/>
    <row r="135" s="2" customFormat="1" x14ac:dyDescent="0.35"/>
    <row r="136" s="2" customFormat="1" x14ac:dyDescent="0.35"/>
    <row r="137" s="2" customFormat="1" x14ac:dyDescent="0.35"/>
    <row r="138" s="2" customFormat="1" x14ac:dyDescent="0.35"/>
    <row r="139" s="2" customFormat="1" x14ac:dyDescent="0.35"/>
    <row r="140" s="2" customFormat="1" x14ac:dyDescent="0.35"/>
    <row r="141" s="2" customFormat="1" x14ac:dyDescent="0.35"/>
    <row r="142" s="2" customFormat="1" x14ac:dyDescent="0.35"/>
    <row r="143" s="2" customFormat="1" x14ac:dyDescent="0.35"/>
    <row r="144" s="2" customFormat="1" x14ac:dyDescent="0.35"/>
    <row r="145" s="2" customFormat="1" x14ac:dyDescent="0.35"/>
    <row r="146" s="2" customFormat="1" x14ac:dyDescent="0.35"/>
    <row r="147" s="2" customFormat="1" x14ac:dyDescent="0.35"/>
    <row r="148" s="2" customFormat="1" x14ac:dyDescent="0.35"/>
    <row r="149" s="2" customFormat="1" x14ac:dyDescent="0.35"/>
    <row r="150" s="2" customFormat="1" x14ac:dyDescent="0.35"/>
    <row r="151" s="2" customFormat="1" x14ac:dyDescent="0.35"/>
    <row r="152" s="2" customFormat="1" x14ac:dyDescent="0.35"/>
    <row r="153" s="2" customFormat="1" x14ac:dyDescent="0.35"/>
    <row r="154" s="2" customFormat="1" x14ac:dyDescent="0.35"/>
    <row r="155" s="2" customFormat="1" x14ac:dyDescent="0.35"/>
    <row r="156" s="2" customFormat="1" x14ac:dyDescent="0.35"/>
    <row r="157" s="2" customFormat="1" x14ac:dyDescent="0.35"/>
    <row r="158" s="2" customFormat="1" x14ac:dyDescent="0.35"/>
    <row r="159" s="2" customFormat="1" x14ac:dyDescent="0.35"/>
    <row r="160" s="2" customFormat="1" x14ac:dyDescent="0.35"/>
    <row r="161" s="2" customFormat="1" x14ac:dyDescent="0.35"/>
    <row r="162" s="2" customFormat="1" x14ac:dyDescent="0.35"/>
    <row r="163" s="2" customFormat="1" x14ac:dyDescent="0.35"/>
    <row r="164" s="2" customFormat="1" x14ac:dyDescent="0.35"/>
    <row r="165" s="2" customFormat="1" x14ac:dyDescent="0.35"/>
    <row r="166" s="2" customFormat="1" x14ac:dyDescent="0.35"/>
    <row r="167" s="2" customFormat="1" x14ac:dyDescent="0.35"/>
    <row r="168" s="2" customFormat="1" x14ac:dyDescent="0.35"/>
    <row r="169" s="2" customFormat="1" x14ac:dyDescent="0.35"/>
    <row r="170" s="2" customFormat="1" x14ac:dyDescent="0.35"/>
    <row r="171" s="2" customFormat="1" x14ac:dyDescent="0.35"/>
    <row r="172" s="2" customFormat="1" x14ac:dyDescent="0.35"/>
  </sheetData>
  <mergeCells count="6">
    <mergeCell ref="A1:D1"/>
    <mergeCell ref="E1:E14"/>
    <mergeCell ref="A3:D3"/>
    <mergeCell ref="A4:D4"/>
    <mergeCell ref="A5:D5"/>
    <mergeCell ref="A2:D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60"/>
  <sheetViews>
    <sheetView workbookViewId="0">
      <selection activeCell="D11" sqref="A1:D11"/>
    </sheetView>
  </sheetViews>
  <sheetFormatPr defaultColWidth="14.453125" defaultRowHeight="14.5" x14ac:dyDescent="0.35"/>
  <cols>
    <col min="1" max="1" width="11.7265625" style="1" customWidth="1"/>
    <col min="2" max="2" width="74.26953125" style="1" customWidth="1"/>
    <col min="3" max="3" width="12.81640625" style="1" customWidth="1"/>
    <col min="4" max="4" width="25.453125" style="1" customWidth="1"/>
    <col min="5" max="5" width="3.1796875" style="2" customWidth="1"/>
    <col min="6" max="27" width="14.453125" style="2"/>
    <col min="28" max="16384" width="14.453125" style="1"/>
  </cols>
  <sheetData>
    <row r="1" spans="1:27" ht="15.5" x14ac:dyDescent="0.35">
      <c r="A1" s="60" t="s">
        <v>7</v>
      </c>
      <c r="B1" s="61"/>
      <c r="C1" s="61"/>
      <c r="D1" s="62"/>
      <c r="E1" s="63"/>
    </row>
    <row r="2" spans="1:27" x14ac:dyDescent="0.35">
      <c r="A2" s="132" t="s">
        <v>104</v>
      </c>
      <c r="B2" s="132"/>
      <c r="C2" s="132"/>
      <c r="D2" s="133"/>
      <c r="E2" s="63"/>
    </row>
    <row r="3" spans="1:27" ht="32.25" customHeight="1" x14ac:dyDescent="0.35">
      <c r="A3" s="132" t="s">
        <v>105</v>
      </c>
      <c r="B3" s="132"/>
      <c r="C3" s="132"/>
      <c r="D3" s="133"/>
      <c r="E3" s="63"/>
      <c r="F3" s="9" t="s">
        <v>23</v>
      </c>
    </row>
    <row r="4" spans="1:27" ht="15.5" x14ac:dyDescent="0.35">
      <c r="A4" s="66" t="s">
        <v>11</v>
      </c>
      <c r="B4" s="67"/>
      <c r="C4" s="67"/>
      <c r="D4" s="68"/>
      <c r="E4" s="63"/>
      <c r="F4" s="9" t="s">
        <v>24</v>
      </c>
    </row>
    <row r="5" spans="1:27" x14ac:dyDescent="0.35">
      <c r="A5" s="64"/>
      <c r="B5" s="64"/>
      <c r="C5" s="134"/>
      <c r="D5" s="69"/>
      <c r="E5" s="63"/>
    </row>
    <row r="6" spans="1:27" s="16" customFormat="1" ht="15.5" x14ac:dyDescent="0.35">
      <c r="A6" s="11" t="s">
        <v>1</v>
      </c>
      <c r="B6" s="12" t="s">
        <v>3</v>
      </c>
      <c r="C6" s="14" t="s">
        <v>6</v>
      </c>
      <c r="D6" s="14" t="s">
        <v>9</v>
      </c>
      <c r="E6" s="63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ht="15.5" x14ac:dyDescent="0.35">
      <c r="A7" s="3">
        <v>1</v>
      </c>
      <c r="B7" s="4" t="s">
        <v>72</v>
      </c>
      <c r="C7" s="5" t="s">
        <v>48</v>
      </c>
      <c r="D7" s="182">
        <v>44250</v>
      </c>
      <c r="E7" s="63"/>
      <c r="F7" s="28"/>
    </row>
    <row r="8" spans="1:27" ht="15.5" x14ac:dyDescent="0.35">
      <c r="A8" s="6">
        <v>2</v>
      </c>
      <c r="B8" s="4" t="s">
        <v>75</v>
      </c>
      <c r="C8" s="5" t="s">
        <v>48</v>
      </c>
      <c r="D8" s="182">
        <v>44250</v>
      </c>
      <c r="E8" s="63"/>
      <c r="F8" s="28"/>
    </row>
    <row r="9" spans="1:27" ht="15.5" x14ac:dyDescent="0.35">
      <c r="A9" s="6">
        <v>3</v>
      </c>
      <c r="B9" s="4" t="s">
        <v>73</v>
      </c>
      <c r="C9" s="5" t="s">
        <v>77</v>
      </c>
      <c r="D9" s="182">
        <v>44250</v>
      </c>
      <c r="E9" s="63"/>
      <c r="F9" s="28"/>
    </row>
    <row r="10" spans="1:27" ht="15.5" x14ac:dyDescent="0.35">
      <c r="A10" s="6">
        <v>4</v>
      </c>
      <c r="B10" s="4" t="s">
        <v>74</v>
      </c>
      <c r="C10" s="5" t="s">
        <v>67</v>
      </c>
      <c r="D10" s="35" t="s">
        <v>103</v>
      </c>
      <c r="E10" s="63"/>
      <c r="F10" s="28"/>
    </row>
    <row r="11" spans="1:27" ht="15.5" x14ac:dyDescent="0.35">
      <c r="A11" s="6">
        <v>5</v>
      </c>
      <c r="B11" s="4" t="s">
        <v>76</v>
      </c>
      <c r="C11" s="5" t="s">
        <v>48</v>
      </c>
      <c r="D11" s="35" t="s">
        <v>103</v>
      </c>
      <c r="E11" s="63"/>
      <c r="F11" s="28"/>
    </row>
    <row r="12" spans="1:27" ht="15.5" x14ac:dyDescent="0.35">
      <c r="A12" s="6">
        <v>6</v>
      </c>
      <c r="B12" s="27"/>
      <c r="C12" s="36"/>
      <c r="D12" s="35"/>
      <c r="E12" s="63"/>
      <c r="F12" s="28"/>
    </row>
    <row r="13" spans="1:27" ht="15.5" x14ac:dyDescent="0.35">
      <c r="A13" s="6">
        <v>7</v>
      </c>
      <c r="B13" s="27"/>
      <c r="C13" s="36"/>
      <c r="D13" s="35"/>
      <c r="E13" s="63"/>
      <c r="F13" s="28"/>
    </row>
    <row r="14" spans="1:27" ht="15" customHeight="1" x14ac:dyDescent="0.35">
      <c r="A14" s="6">
        <v>8</v>
      </c>
      <c r="B14" s="27"/>
      <c r="C14" s="36"/>
      <c r="D14" s="35"/>
      <c r="E14" s="63"/>
      <c r="F14" s="28"/>
    </row>
    <row r="15" spans="1:27" s="2" customFormat="1" x14ac:dyDescent="0.35"/>
    <row r="16" spans="1:27" s="2" customFormat="1" x14ac:dyDescent="0.35"/>
    <row r="17" s="2" customFormat="1" x14ac:dyDescent="0.35"/>
    <row r="18" s="2" customFormat="1" x14ac:dyDescent="0.35"/>
    <row r="19" s="2" customFormat="1" x14ac:dyDescent="0.35"/>
    <row r="20" s="2" customFormat="1" x14ac:dyDescent="0.35"/>
    <row r="21" s="2" customFormat="1" x14ac:dyDescent="0.35"/>
    <row r="22" s="2" customFormat="1" x14ac:dyDescent="0.35"/>
    <row r="23" s="2" customFormat="1" x14ac:dyDescent="0.35"/>
    <row r="24" s="2" customFormat="1" x14ac:dyDescent="0.35"/>
    <row r="25" s="2" customFormat="1" x14ac:dyDescent="0.35"/>
    <row r="26" s="2" customFormat="1" x14ac:dyDescent="0.35"/>
    <row r="27" s="2" customFormat="1" x14ac:dyDescent="0.35"/>
    <row r="28" s="2" customFormat="1" x14ac:dyDescent="0.35"/>
    <row r="29" s="2" customFormat="1" x14ac:dyDescent="0.35"/>
    <row r="30" s="2" customFormat="1" x14ac:dyDescent="0.35"/>
    <row r="31" s="2" customFormat="1" x14ac:dyDescent="0.35"/>
    <row r="32" s="2" customFormat="1" x14ac:dyDescent="0.35"/>
    <row r="33" s="2" customFormat="1" x14ac:dyDescent="0.35"/>
    <row r="34" s="2" customFormat="1" x14ac:dyDescent="0.35"/>
    <row r="35" s="2" customFormat="1" x14ac:dyDescent="0.35"/>
    <row r="36" s="2" customFormat="1" x14ac:dyDescent="0.35"/>
    <row r="37" s="2" customFormat="1" x14ac:dyDescent="0.35"/>
    <row r="38" s="2" customFormat="1" x14ac:dyDescent="0.35"/>
    <row r="39" s="2" customFormat="1" x14ac:dyDescent="0.35"/>
    <row r="40" s="2" customFormat="1" x14ac:dyDescent="0.35"/>
    <row r="41" s="2" customFormat="1" x14ac:dyDescent="0.35"/>
    <row r="42" s="2" customFormat="1" x14ac:dyDescent="0.35"/>
    <row r="43" s="2" customFormat="1" x14ac:dyDescent="0.35"/>
    <row r="44" s="2" customFormat="1" x14ac:dyDescent="0.35"/>
    <row r="45" s="2" customFormat="1" x14ac:dyDescent="0.35"/>
    <row r="46" s="2" customFormat="1" x14ac:dyDescent="0.35"/>
    <row r="47" s="2" customFormat="1" x14ac:dyDescent="0.35"/>
    <row r="48" s="2" customFormat="1" x14ac:dyDescent="0.35"/>
    <row r="49" s="2" customFormat="1" x14ac:dyDescent="0.35"/>
    <row r="50" s="2" customFormat="1" x14ac:dyDescent="0.35"/>
    <row r="51" s="2" customFormat="1" x14ac:dyDescent="0.35"/>
    <row r="52" s="2" customFormat="1" x14ac:dyDescent="0.35"/>
    <row r="53" s="2" customFormat="1" x14ac:dyDescent="0.35"/>
    <row r="54" s="2" customFormat="1" x14ac:dyDescent="0.35"/>
    <row r="55" s="2" customFormat="1" x14ac:dyDescent="0.35"/>
    <row r="56" s="2" customFormat="1" x14ac:dyDescent="0.35"/>
    <row r="57" s="2" customFormat="1" x14ac:dyDescent="0.35"/>
    <row r="58" s="2" customFormat="1" x14ac:dyDescent="0.35"/>
    <row r="59" s="2" customFormat="1" x14ac:dyDescent="0.35"/>
    <row r="60" s="2" customFormat="1" x14ac:dyDescent="0.35"/>
    <row r="61" s="2" customFormat="1" x14ac:dyDescent="0.35"/>
    <row r="62" s="2" customFormat="1" x14ac:dyDescent="0.35"/>
    <row r="63" s="2" customFormat="1" x14ac:dyDescent="0.35"/>
    <row r="64" s="2" customFormat="1" x14ac:dyDescent="0.35"/>
    <row r="65" s="2" customFormat="1" x14ac:dyDescent="0.35"/>
    <row r="66" s="2" customFormat="1" x14ac:dyDescent="0.35"/>
    <row r="67" s="2" customFormat="1" x14ac:dyDescent="0.35"/>
    <row r="68" s="2" customFormat="1" x14ac:dyDescent="0.35"/>
    <row r="69" s="2" customFormat="1" x14ac:dyDescent="0.35"/>
    <row r="70" s="2" customFormat="1" x14ac:dyDescent="0.35"/>
    <row r="71" s="2" customFormat="1" x14ac:dyDescent="0.35"/>
    <row r="72" s="2" customFormat="1" x14ac:dyDescent="0.35"/>
    <row r="73" s="2" customFormat="1" x14ac:dyDescent="0.35"/>
    <row r="74" s="2" customFormat="1" x14ac:dyDescent="0.35"/>
    <row r="75" s="2" customFormat="1" x14ac:dyDescent="0.35"/>
    <row r="76" s="2" customFormat="1" x14ac:dyDescent="0.35"/>
    <row r="77" s="2" customFormat="1" x14ac:dyDescent="0.35"/>
    <row r="78" s="2" customFormat="1" x14ac:dyDescent="0.35"/>
    <row r="79" s="2" customFormat="1" x14ac:dyDescent="0.35"/>
    <row r="80" s="2" customFormat="1" x14ac:dyDescent="0.35"/>
    <row r="81" s="2" customFormat="1" x14ac:dyDescent="0.35"/>
    <row r="82" s="2" customFormat="1" x14ac:dyDescent="0.35"/>
    <row r="83" s="2" customFormat="1" x14ac:dyDescent="0.35"/>
    <row r="84" s="2" customFormat="1" x14ac:dyDescent="0.35"/>
    <row r="85" s="2" customFormat="1" x14ac:dyDescent="0.35"/>
    <row r="86" s="2" customFormat="1" x14ac:dyDescent="0.35"/>
    <row r="87" s="2" customFormat="1" x14ac:dyDescent="0.35"/>
    <row r="88" s="2" customFormat="1" x14ac:dyDescent="0.35"/>
    <row r="89" s="2" customFormat="1" x14ac:dyDescent="0.35"/>
    <row r="90" s="2" customFormat="1" x14ac:dyDescent="0.35"/>
    <row r="91" s="2" customFormat="1" x14ac:dyDescent="0.35"/>
    <row r="92" s="2" customFormat="1" x14ac:dyDescent="0.35"/>
    <row r="93" s="2" customFormat="1" x14ac:dyDescent="0.35"/>
    <row r="94" s="2" customFormat="1" x14ac:dyDescent="0.35"/>
    <row r="95" s="2" customFormat="1" x14ac:dyDescent="0.35"/>
    <row r="96" s="2" customFormat="1" x14ac:dyDescent="0.35"/>
    <row r="97" s="2" customFormat="1" x14ac:dyDescent="0.35"/>
    <row r="98" s="2" customFormat="1" x14ac:dyDescent="0.35"/>
    <row r="99" s="2" customFormat="1" x14ac:dyDescent="0.35"/>
    <row r="100" s="2" customFormat="1" x14ac:dyDescent="0.35"/>
    <row r="101" s="2" customFormat="1" x14ac:dyDescent="0.35"/>
    <row r="102" s="2" customFormat="1" x14ac:dyDescent="0.35"/>
    <row r="103" s="2" customFormat="1" x14ac:dyDescent="0.35"/>
    <row r="104" s="2" customFormat="1" x14ac:dyDescent="0.35"/>
    <row r="105" s="2" customFormat="1" x14ac:dyDescent="0.35"/>
    <row r="106" s="2" customFormat="1" x14ac:dyDescent="0.35"/>
    <row r="107" s="2" customFormat="1" x14ac:dyDescent="0.35"/>
    <row r="108" s="2" customFormat="1" x14ac:dyDescent="0.35"/>
    <row r="109" s="2" customFormat="1" x14ac:dyDescent="0.35"/>
    <row r="110" s="2" customFormat="1" x14ac:dyDescent="0.35"/>
    <row r="111" s="2" customFormat="1" x14ac:dyDescent="0.35"/>
    <row r="112" s="2" customFormat="1" x14ac:dyDescent="0.35"/>
    <row r="113" s="2" customFormat="1" x14ac:dyDescent="0.35"/>
    <row r="114" s="2" customFormat="1" x14ac:dyDescent="0.35"/>
    <row r="115" s="2" customFormat="1" x14ac:dyDescent="0.35"/>
    <row r="116" s="2" customFormat="1" x14ac:dyDescent="0.35"/>
    <row r="117" s="2" customFormat="1" x14ac:dyDescent="0.35"/>
    <row r="118" s="2" customFormat="1" x14ac:dyDescent="0.35"/>
    <row r="119" s="2" customFormat="1" x14ac:dyDescent="0.35"/>
    <row r="120" s="2" customFormat="1" x14ac:dyDescent="0.35"/>
    <row r="121" s="2" customFormat="1" x14ac:dyDescent="0.35"/>
    <row r="122" s="2" customFormat="1" x14ac:dyDescent="0.35"/>
    <row r="123" s="2" customFormat="1" x14ac:dyDescent="0.35"/>
    <row r="124" s="2" customFormat="1" x14ac:dyDescent="0.35"/>
    <row r="125" s="2" customFormat="1" x14ac:dyDescent="0.35"/>
    <row r="126" s="2" customFormat="1" x14ac:dyDescent="0.35"/>
    <row r="127" s="2" customFormat="1" x14ac:dyDescent="0.35"/>
    <row r="128" s="2" customFormat="1" x14ac:dyDescent="0.35"/>
    <row r="129" s="2" customFormat="1" x14ac:dyDescent="0.35"/>
    <row r="130" s="2" customFormat="1" x14ac:dyDescent="0.35"/>
    <row r="131" s="2" customFormat="1" x14ac:dyDescent="0.35"/>
    <row r="132" s="2" customFormat="1" x14ac:dyDescent="0.35"/>
    <row r="133" s="2" customFormat="1" x14ac:dyDescent="0.35"/>
    <row r="134" s="2" customFormat="1" x14ac:dyDescent="0.35"/>
    <row r="135" s="2" customFormat="1" x14ac:dyDescent="0.35"/>
    <row r="136" s="2" customFormat="1" x14ac:dyDescent="0.35"/>
    <row r="137" s="2" customFormat="1" x14ac:dyDescent="0.35"/>
    <row r="138" s="2" customFormat="1" x14ac:dyDescent="0.35"/>
    <row r="139" s="2" customFormat="1" x14ac:dyDescent="0.35"/>
    <row r="140" s="2" customFormat="1" x14ac:dyDescent="0.35"/>
    <row r="141" s="2" customFormat="1" x14ac:dyDescent="0.35"/>
    <row r="142" s="2" customFormat="1" x14ac:dyDescent="0.35"/>
    <row r="143" s="2" customFormat="1" x14ac:dyDescent="0.35"/>
    <row r="144" s="2" customFormat="1" x14ac:dyDescent="0.35"/>
    <row r="145" s="2" customFormat="1" x14ac:dyDescent="0.35"/>
    <row r="146" s="2" customFormat="1" x14ac:dyDescent="0.35"/>
    <row r="147" s="2" customFormat="1" x14ac:dyDescent="0.35"/>
    <row r="148" s="2" customFormat="1" x14ac:dyDescent="0.35"/>
    <row r="149" s="2" customFormat="1" x14ac:dyDescent="0.35"/>
    <row r="150" s="2" customFormat="1" x14ac:dyDescent="0.35"/>
    <row r="151" s="2" customFormat="1" x14ac:dyDescent="0.35"/>
    <row r="152" s="2" customFormat="1" x14ac:dyDescent="0.35"/>
    <row r="153" s="2" customFormat="1" x14ac:dyDescent="0.35"/>
    <row r="154" s="2" customFormat="1" x14ac:dyDescent="0.35"/>
    <row r="155" s="2" customFormat="1" x14ac:dyDescent="0.35"/>
    <row r="156" s="2" customFormat="1" x14ac:dyDescent="0.35"/>
    <row r="157" s="2" customFormat="1" x14ac:dyDescent="0.35"/>
    <row r="158" s="2" customFormat="1" x14ac:dyDescent="0.35"/>
    <row r="159" s="2" customFormat="1" x14ac:dyDescent="0.35"/>
    <row r="160" s="2" customFormat="1" x14ac:dyDescent="0.35"/>
  </sheetData>
  <mergeCells count="6">
    <mergeCell ref="A1:D1"/>
    <mergeCell ref="E1:E14"/>
    <mergeCell ref="A3:D3"/>
    <mergeCell ref="A4:D4"/>
    <mergeCell ref="A5:D5"/>
    <mergeCell ref="A2:D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X175"/>
  <sheetViews>
    <sheetView topLeftCell="A19" workbookViewId="0">
      <selection activeCell="B63" sqref="B63"/>
    </sheetView>
  </sheetViews>
  <sheetFormatPr defaultColWidth="14.453125" defaultRowHeight="14.5" x14ac:dyDescent="0.35"/>
  <cols>
    <col min="1" max="1" width="42.453125" style="1" customWidth="1"/>
    <col min="2" max="2" width="124" style="1" customWidth="1"/>
    <col min="3" max="3" width="3.1796875" style="2" customWidth="1"/>
    <col min="4" max="24" width="14.453125" style="2"/>
    <col min="25" max="16384" width="14.453125" style="1"/>
  </cols>
  <sheetData>
    <row r="1" spans="1:24" ht="15.5" x14ac:dyDescent="0.35">
      <c r="A1" s="135" t="s">
        <v>12</v>
      </c>
      <c r="B1" s="136"/>
      <c r="C1" s="63"/>
    </row>
    <row r="2" spans="1:24" x14ac:dyDescent="0.35">
      <c r="A2" s="139" t="s">
        <v>61</v>
      </c>
      <c r="B2" s="140"/>
      <c r="C2" s="63"/>
    </row>
    <row r="3" spans="1:24" x14ac:dyDescent="0.35">
      <c r="A3" s="139" t="s">
        <v>8</v>
      </c>
      <c r="B3" s="140"/>
      <c r="C3" s="63"/>
    </row>
    <row r="4" spans="1:24" ht="15.5" x14ac:dyDescent="0.35">
      <c r="A4" s="141" t="s">
        <v>10</v>
      </c>
      <c r="B4" s="142"/>
      <c r="C4" s="63"/>
    </row>
    <row r="5" spans="1:24" x14ac:dyDescent="0.35">
      <c r="A5" s="143"/>
      <c r="B5" s="144"/>
      <c r="C5" s="63"/>
    </row>
    <row r="6" spans="1:24" s="16" customFormat="1" ht="18" customHeight="1" x14ac:dyDescent="0.35">
      <c r="A6" s="145" t="s">
        <v>13</v>
      </c>
      <c r="B6" s="33"/>
      <c r="C6" s="63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spans="1:24" s="16" customFormat="1" ht="18" customHeight="1" x14ac:dyDescent="0.35">
      <c r="A7" s="145"/>
      <c r="B7" s="33"/>
      <c r="C7" s="63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spans="1:24" s="16" customFormat="1" ht="18" customHeight="1" x14ac:dyDescent="0.35">
      <c r="A8" s="145"/>
      <c r="B8" s="33"/>
      <c r="C8" s="63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spans="1:24" s="16" customFormat="1" ht="18" customHeight="1" x14ac:dyDescent="0.35">
      <c r="A9" s="145"/>
      <c r="B9" s="34"/>
      <c r="C9" s="63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spans="1:24" s="16" customFormat="1" ht="18" customHeight="1" x14ac:dyDescent="0.35">
      <c r="A10" s="145"/>
      <c r="B10" s="33"/>
      <c r="C10" s="63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spans="1:24" s="16" customFormat="1" ht="18" customHeight="1" x14ac:dyDescent="0.35">
      <c r="A11" s="145"/>
      <c r="B11" s="33"/>
      <c r="C11" s="63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spans="1:24" s="16" customFormat="1" ht="18" customHeight="1" x14ac:dyDescent="0.35">
      <c r="A12" s="145"/>
      <c r="B12" s="33"/>
      <c r="C12" s="63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spans="1:24" s="16" customFormat="1" ht="18" customHeight="1" x14ac:dyDescent="0.35">
      <c r="A13" s="145"/>
      <c r="B13" s="33"/>
      <c r="C13" s="63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spans="1:24" s="16" customFormat="1" ht="18" customHeight="1" x14ac:dyDescent="0.35">
      <c r="A14" s="145"/>
      <c r="B14" s="33"/>
      <c r="C14" s="63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spans="1:24" s="16" customFormat="1" ht="18" customHeight="1" x14ac:dyDescent="0.35">
      <c r="A15" s="145"/>
      <c r="B15" s="33"/>
      <c r="C15" s="63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spans="1:24" s="16" customFormat="1" ht="18" customHeight="1" x14ac:dyDescent="0.35">
      <c r="A16" s="146"/>
      <c r="B16" s="33"/>
      <c r="C16" s="63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spans="1:24" ht="16" customHeight="1" x14ac:dyDescent="0.35">
      <c r="A17" s="147" t="s">
        <v>14</v>
      </c>
      <c r="B17" s="148"/>
      <c r="C17" s="63"/>
    </row>
    <row r="18" spans="1:24" ht="16" customHeight="1" x14ac:dyDescent="0.35">
      <c r="A18" s="146"/>
      <c r="B18" s="149"/>
      <c r="C18" s="63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</row>
    <row r="19" spans="1:24" ht="16" customHeight="1" x14ac:dyDescent="0.35">
      <c r="A19" s="150" t="s">
        <v>15</v>
      </c>
      <c r="B19" s="152"/>
      <c r="C19" s="63"/>
    </row>
    <row r="20" spans="1:24" ht="16" customHeight="1" x14ac:dyDescent="0.35">
      <c r="A20" s="151"/>
      <c r="B20" s="153"/>
      <c r="C20" s="63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</row>
    <row r="21" spans="1:24" ht="16" customHeight="1" x14ac:dyDescent="0.35">
      <c r="A21" s="154" t="s">
        <v>17</v>
      </c>
      <c r="B21" s="152"/>
      <c r="C21" s="63"/>
    </row>
    <row r="22" spans="1:24" ht="16" customHeight="1" x14ac:dyDescent="0.35">
      <c r="A22" s="155"/>
      <c r="B22" s="153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</row>
    <row r="23" spans="1:24" s="2" customFormat="1" x14ac:dyDescent="0.35"/>
    <row r="24" spans="1:24" s="2" customFormat="1" x14ac:dyDescent="0.35"/>
    <row r="25" spans="1:24" s="2" customFormat="1" ht="15.5" x14ac:dyDescent="0.35">
      <c r="A25" s="135" t="s">
        <v>12</v>
      </c>
      <c r="B25" s="136"/>
    </row>
    <row r="26" spans="1:24" s="2" customFormat="1" x14ac:dyDescent="0.35">
      <c r="A26" s="137" t="s">
        <v>60</v>
      </c>
      <c r="B26" s="138"/>
    </row>
    <row r="27" spans="1:24" s="2" customFormat="1" x14ac:dyDescent="0.35">
      <c r="A27" s="137" t="s">
        <v>16</v>
      </c>
      <c r="B27" s="138"/>
    </row>
    <row r="28" spans="1:24" s="2" customFormat="1" ht="15.5" x14ac:dyDescent="0.35">
      <c r="A28" s="156" t="s">
        <v>11</v>
      </c>
      <c r="B28" s="157"/>
    </row>
    <row r="29" spans="1:24" s="2" customFormat="1" x14ac:dyDescent="0.35">
      <c r="A29" s="17"/>
      <c r="B29" s="18"/>
    </row>
    <row r="30" spans="1:24" s="2" customFormat="1" ht="18" customHeight="1" x14ac:dyDescent="0.35">
      <c r="A30" s="147" t="s">
        <v>13</v>
      </c>
      <c r="B30" s="30"/>
    </row>
    <row r="31" spans="1:24" s="28" customFormat="1" ht="18" customHeight="1" x14ac:dyDescent="0.35">
      <c r="A31" s="145"/>
      <c r="B31" s="31"/>
    </row>
    <row r="32" spans="1:24" s="28" customFormat="1" ht="18" customHeight="1" x14ac:dyDescent="0.35">
      <c r="A32" s="145"/>
      <c r="B32" s="31"/>
    </row>
    <row r="33" spans="1:2" s="28" customFormat="1" ht="18" customHeight="1" x14ac:dyDescent="0.35">
      <c r="A33" s="145"/>
      <c r="B33" s="32"/>
    </row>
    <row r="34" spans="1:2" s="28" customFormat="1" ht="18" customHeight="1" x14ac:dyDescent="0.35">
      <c r="A34" s="145"/>
      <c r="B34" s="32"/>
    </row>
    <row r="35" spans="1:2" s="28" customFormat="1" ht="18" customHeight="1" x14ac:dyDescent="0.35">
      <c r="A35" s="145"/>
      <c r="B35" s="32"/>
    </row>
    <row r="36" spans="1:2" s="28" customFormat="1" ht="18" customHeight="1" x14ac:dyDescent="0.35">
      <c r="A36" s="145"/>
      <c r="B36" s="32"/>
    </row>
    <row r="37" spans="1:2" s="28" customFormat="1" ht="18" customHeight="1" x14ac:dyDescent="0.35">
      <c r="A37" s="145"/>
      <c r="B37" s="32"/>
    </row>
    <row r="38" spans="1:2" s="28" customFormat="1" ht="18" customHeight="1" x14ac:dyDescent="0.35">
      <c r="A38" s="145"/>
      <c r="B38" s="32"/>
    </row>
    <row r="39" spans="1:2" s="28" customFormat="1" ht="18" customHeight="1" x14ac:dyDescent="0.35">
      <c r="A39" s="145"/>
      <c r="B39" s="32"/>
    </row>
    <row r="40" spans="1:2" s="28" customFormat="1" ht="18" customHeight="1" x14ac:dyDescent="0.35">
      <c r="A40" s="145"/>
      <c r="B40" s="32"/>
    </row>
    <row r="41" spans="1:2" s="28" customFormat="1" ht="18" customHeight="1" x14ac:dyDescent="0.35">
      <c r="A41" s="145"/>
      <c r="B41" s="32"/>
    </row>
    <row r="42" spans="1:2" s="28" customFormat="1" ht="18" customHeight="1" x14ac:dyDescent="0.35">
      <c r="A42" s="145"/>
      <c r="B42" s="32"/>
    </row>
    <row r="43" spans="1:2" s="28" customFormat="1" ht="18" customHeight="1" x14ac:dyDescent="0.35">
      <c r="A43" s="145"/>
      <c r="B43" s="31"/>
    </row>
    <row r="44" spans="1:2" s="28" customFormat="1" ht="18" customHeight="1" x14ac:dyDescent="0.35">
      <c r="A44" s="145"/>
      <c r="B44" s="31"/>
    </row>
    <row r="45" spans="1:2" s="28" customFormat="1" ht="18" customHeight="1" x14ac:dyDescent="0.35">
      <c r="A45" s="146"/>
      <c r="B45" s="29"/>
    </row>
    <row r="46" spans="1:2" s="2" customFormat="1" ht="16" customHeight="1" x14ac:dyDescent="0.35">
      <c r="A46" s="158" t="s">
        <v>14</v>
      </c>
      <c r="B46" s="164"/>
    </row>
    <row r="47" spans="1:2" s="28" customFormat="1" ht="16" customHeight="1" x14ac:dyDescent="0.35">
      <c r="A47" s="159"/>
      <c r="B47" s="165"/>
    </row>
    <row r="48" spans="1:2" s="2" customFormat="1" ht="16" customHeight="1" x14ac:dyDescent="0.35">
      <c r="A48" s="158" t="s">
        <v>15</v>
      </c>
      <c r="B48" s="162"/>
    </row>
    <row r="49" spans="1:2" s="28" customFormat="1" ht="16" customHeight="1" x14ac:dyDescent="0.35">
      <c r="A49" s="159"/>
      <c r="B49" s="163"/>
    </row>
    <row r="50" spans="1:2" s="2" customFormat="1" ht="16" customHeight="1" x14ac:dyDescent="0.35">
      <c r="A50" s="158" t="s">
        <v>17</v>
      </c>
      <c r="B50" s="160"/>
    </row>
    <row r="51" spans="1:2" s="28" customFormat="1" ht="16" customHeight="1" x14ac:dyDescent="0.35">
      <c r="A51" s="159"/>
      <c r="B51" s="161"/>
    </row>
    <row r="52" spans="1:2" s="2" customFormat="1" x14ac:dyDescent="0.35"/>
    <row r="53" spans="1:2" s="2" customFormat="1" x14ac:dyDescent="0.35"/>
    <row r="54" spans="1:2" s="2" customFormat="1" x14ac:dyDescent="0.35"/>
    <row r="55" spans="1:2" s="2" customFormat="1" x14ac:dyDescent="0.35"/>
    <row r="56" spans="1:2" s="2" customFormat="1" x14ac:dyDescent="0.35"/>
    <row r="57" spans="1:2" s="2" customFormat="1" x14ac:dyDescent="0.35"/>
    <row r="58" spans="1:2" s="2" customFormat="1" x14ac:dyDescent="0.35"/>
    <row r="59" spans="1:2" s="2" customFormat="1" x14ac:dyDescent="0.35"/>
    <row r="60" spans="1:2" s="2" customFormat="1" x14ac:dyDescent="0.35"/>
    <row r="61" spans="1:2" s="2" customFormat="1" x14ac:dyDescent="0.35"/>
    <row r="62" spans="1:2" s="2" customFormat="1" x14ac:dyDescent="0.35"/>
    <row r="63" spans="1:2" s="2" customFormat="1" x14ac:dyDescent="0.35"/>
    <row r="64" spans="1:2" s="2" customFormat="1" x14ac:dyDescent="0.35"/>
    <row r="65" s="2" customFormat="1" x14ac:dyDescent="0.35"/>
    <row r="66" s="2" customFormat="1" x14ac:dyDescent="0.35"/>
    <row r="67" s="2" customFormat="1" x14ac:dyDescent="0.35"/>
    <row r="68" s="2" customFormat="1" x14ac:dyDescent="0.35"/>
    <row r="69" s="2" customFormat="1" x14ac:dyDescent="0.35"/>
    <row r="70" s="2" customFormat="1" x14ac:dyDescent="0.35"/>
    <row r="71" s="2" customFormat="1" x14ac:dyDescent="0.35"/>
    <row r="72" s="2" customFormat="1" x14ac:dyDescent="0.35"/>
    <row r="73" s="2" customFormat="1" x14ac:dyDescent="0.35"/>
    <row r="74" s="2" customFormat="1" x14ac:dyDescent="0.35"/>
    <row r="75" s="2" customFormat="1" x14ac:dyDescent="0.35"/>
    <row r="76" s="2" customFormat="1" x14ac:dyDescent="0.35"/>
    <row r="77" s="2" customFormat="1" x14ac:dyDescent="0.35"/>
    <row r="78" s="2" customFormat="1" x14ac:dyDescent="0.35"/>
    <row r="79" s="2" customFormat="1" x14ac:dyDescent="0.35"/>
    <row r="80" s="2" customFormat="1" x14ac:dyDescent="0.35"/>
    <row r="81" s="2" customFormat="1" x14ac:dyDescent="0.35"/>
    <row r="82" s="2" customFormat="1" x14ac:dyDescent="0.35"/>
    <row r="83" s="2" customFormat="1" x14ac:dyDescent="0.35"/>
    <row r="84" s="2" customFormat="1" x14ac:dyDescent="0.35"/>
    <row r="85" s="2" customFormat="1" x14ac:dyDescent="0.35"/>
    <row r="86" s="2" customFormat="1" x14ac:dyDescent="0.35"/>
    <row r="87" s="2" customFormat="1" x14ac:dyDescent="0.35"/>
    <row r="88" s="2" customFormat="1" x14ac:dyDescent="0.35"/>
    <row r="89" s="2" customFormat="1" x14ac:dyDescent="0.35"/>
    <row r="90" s="2" customFormat="1" x14ac:dyDescent="0.35"/>
    <row r="91" s="2" customFormat="1" x14ac:dyDescent="0.35"/>
    <row r="92" s="2" customFormat="1" x14ac:dyDescent="0.35"/>
    <row r="93" s="2" customFormat="1" x14ac:dyDescent="0.35"/>
    <row r="94" s="2" customFormat="1" x14ac:dyDescent="0.35"/>
    <row r="95" s="2" customFormat="1" x14ac:dyDescent="0.35"/>
    <row r="96" s="2" customFormat="1" x14ac:dyDescent="0.35"/>
    <row r="97" s="2" customFormat="1" x14ac:dyDescent="0.35"/>
    <row r="98" s="2" customFormat="1" x14ac:dyDescent="0.35"/>
    <row r="99" s="2" customFormat="1" x14ac:dyDescent="0.35"/>
    <row r="100" s="2" customFormat="1" x14ac:dyDescent="0.35"/>
    <row r="101" s="2" customFormat="1" x14ac:dyDescent="0.35"/>
    <row r="102" s="2" customFormat="1" x14ac:dyDescent="0.35"/>
    <row r="103" s="2" customFormat="1" x14ac:dyDescent="0.35"/>
    <row r="104" s="2" customFormat="1" x14ac:dyDescent="0.35"/>
    <row r="105" s="2" customFormat="1" x14ac:dyDescent="0.35"/>
    <row r="106" s="2" customFormat="1" x14ac:dyDescent="0.35"/>
    <row r="107" s="2" customFormat="1" x14ac:dyDescent="0.35"/>
    <row r="108" s="2" customFormat="1" x14ac:dyDescent="0.35"/>
    <row r="109" s="2" customFormat="1" x14ac:dyDescent="0.35"/>
    <row r="110" s="2" customFormat="1" x14ac:dyDescent="0.35"/>
    <row r="111" s="2" customFormat="1" x14ac:dyDescent="0.35"/>
    <row r="112" s="2" customFormat="1" x14ac:dyDescent="0.35"/>
    <row r="113" s="2" customFormat="1" x14ac:dyDescent="0.35"/>
    <row r="114" s="2" customFormat="1" x14ac:dyDescent="0.35"/>
    <row r="115" s="2" customFormat="1" x14ac:dyDescent="0.35"/>
    <row r="116" s="2" customFormat="1" x14ac:dyDescent="0.35"/>
    <row r="117" s="2" customFormat="1" x14ac:dyDescent="0.35"/>
    <row r="118" s="2" customFormat="1" x14ac:dyDescent="0.35"/>
    <row r="119" s="2" customFormat="1" x14ac:dyDescent="0.35"/>
    <row r="120" s="2" customFormat="1" x14ac:dyDescent="0.35"/>
    <row r="121" s="2" customFormat="1" x14ac:dyDescent="0.35"/>
    <row r="122" s="2" customFormat="1" x14ac:dyDescent="0.35"/>
    <row r="123" s="2" customFormat="1" x14ac:dyDescent="0.35"/>
    <row r="124" s="2" customFormat="1" x14ac:dyDescent="0.35"/>
    <row r="125" s="2" customFormat="1" x14ac:dyDescent="0.35"/>
    <row r="126" s="2" customFormat="1" x14ac:dyDescent="0.35"/>
    <row r="127" s="2" customFormat="1" x14ac:dyDescent="0.35"/>
    <row r="128" s="2" customFormat="1" x14ac:dyDescent="0.35"/>
    <row r="129" s="2" customFormat="1" x14ac:dyDescent="0.35"/>
    <row r="130" s="2" customFormat="1" x14ac:dyDescent="0.35"/>
    <row r="131" s="2" customFormat="1" x14ac:dyDescent="0.35"/>
    <row r="132" s="2" customFormat="1" x14ac:dyDescent="0.35"/>
    <row r="133" s="2" customFormat="1" x14ac:dyDescent="0.35"/>
    <row r="134" s="2" customFormat="1" x14ac:dyDescent="0.35"/>
    <row r="135" s="2" customFormat="1" x14ac:dyDescent="0.35"/>
    <row r="136" s="2" customFormat="1" x14ac:dyDescent="0.35"/>
    <row r="137" s="2" customFormat="1" x14ac:dyDescent="0.35"/>
    <row r="138" s="2" customFormat="1" x14ac:dyDescent="0.35"/>
    <row r="139" s="2" customFormat="1" x14ac:dyDescent="0.35"/>
    <row r="140" s="2" customFormat="1" x14ac:dyDescent="0.35"/>
    <row r="141" s="2" customFormat="1" x14ac:dyDescent="0.35"/>
    <row r="142" s="2" customFormat="1" x14ac:dyDescent="0.35"/>
    <row r="143" s="2" customFormat="1" x14ac:dyDescent="0.35"/>
    <row r="144" s="2" customFormat="1" x14ac:dyDescent="0.35"/>
    <row r="145" s="2" customFormat="1" x14ac:dyDescent="0.35"/>
    <row r="146" s="2" customFormat="1" x14ac:dyDescent="0.35"/>
    <row r="147" s="2" customFormat="1" x14ac:dyDescent="0.35"/>
    <row r="148" s="2" customFormat="1" x14ac:dyDescent="0.35"/>
    <row r="149" s="2" customFormat="1" x14ac:dyDescent="0.35"/>
    <row r="150" s="2" customFormat="1" x14ac:dyDescent="0.35"/>
    <row r="151" s="2" customFormat="1" x14ac:dyDescent="0.35"/>
    <row r="152" s="2" customFormat="1" x14ac:dyDescent="0.35"/>
    <row r="153" s="2" customFormat="1" x14ac:dyDescent="0.35"/>
    <row r="154" s="2" customFormat="1" x14ac:dyDescent="0.35"/>
    <row r="155" s="2" customFormat="1" x14ac:dyDescent="0.35"/>
    <row r="156" s="2" customFormat="1" x14ac:dyDescent="0.35"/>
    <row r="157" s="2" customFormat="1" x14ac:dyDescent="0.35"/>
    <row r="158" s="2" customFormat="1" x14ac:dyDescent="0.35"/>
    <row r="159" s="2" customFormat="1" x14ac:dyDescent="0.35"/>
    <row r="160" s="2" customFormat="1" x14ac:dyDescent="0.35"/>
    <row r="161" s="2" customFormat="1" x14ac:dyDescent="0.35"/>
    <row r="162" s="2" customFormat="1" x14ac:dyDescent="0.35"/>
    <row r="163" s="2" customFormat="1" x14ac:dyDescent="0.35"/>
    <row r="164" s="2" customFormat="1" x14ac:dyDescent="0.35"/>
    <row r="165" s="2" customFormat="1" x14ac:dyDescent="0.35"/>
    <row r="166" s="2" customFormat="1" x14ac:dyDescent="0.35"/>
    <row r="167" s="2" customFormat="1" x14ac:dyDescent="0.35"/>
    <row r="168" s="2" customFormat="1" x14ac:dyDescent="0.35"/>
    <row r="169" s="2" customFormat="1" x14ac:dyDescent="0.35"/>
    <row r="170" s="2" customFormat="1" x14ac:dyDescent="0.35"/>
    <row r="171" s="2" customFormat="1" x14ac:dyDescent="0.35"/>
    <row r="172" s="2" customFormat="1" x14ac:dyDescent="0.35"/>
    <row r="173" s="2" customFormat="1" x14ac:dyDescent="0.35"/>
    <row r="174" s="2" customFormat="1" x14ac:dyDescent="0.35"/>
    <row r="175" s="2" customFormat="1" x14ac:dyDescent="0.35"/>
  </sheetData>
  <mergeCells count="24">
    <mergeCell ref="A27:B27"/>
    <mergeCell ref="A28:B28"/>
    <mergeCell ref="A50:A51"/>
    <mergeCell ref="B50:B51"/>
    <mergeCell ref="A48:A49"/>
    <mergeCell ref="B48:B49"/>
    <mergeCell ref="A46:A47"/>
    <mergeCell ref="B46:B47"/>
    <mergeCell ref="A30:A45"/>
    <mergeCell ref="A25:B25"/>
    <mergeCell ref="A26:B26"/>
    <mergeCell ref="C1:C21"/>
    <mergeCell ref="A3:B3"/>
    <mergeCell ref="A4:B4"/>
    <mergeCell ref="A5:B5"/>
    <mergeCell ref="A2:B2"/>
    <mergeCell ref="A6:A16"/>
    <mergeCell ref="A17:A18"/>
    <mergeCell ref="B17:B18"/>
    <mergeCell ref="A19:A20"/>
    <mergeCell ref="B19:B20"/>
    <mergeCell ref="A21:A22"/>
    <mergeCell ref="B21:B22"/>
    <mergeCell ref="A1:B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Y144"/>
  <sheetViews>
    <sheetView workbookViewId="0">
      <selection activeCell="D25" sqref="D25"/>
    </sheetView>
  </sheetViews>
  <sheetFormatPr defaultColWidth="14.453125" defaultRowHeight="14.5" x14ac:dyDescent="0.35"/>
  <cols>
    <col min="1" max="1" width="50" style="1" customWidth="1"/>
    <col min="2" max="2" width="81.453125" style="1" customWidth="1"/>
    <col min="3" max="3" width="3.1796875" style="2" customWidth="1"/>
    <col min="4" max="25" width="14.453125" style="2"/>
    <col min="26" max="16384" width="14.453125" style="1"/>
  </cols>
  <sheetData>
    <row r="1" spans="1:25" ht="15.5" x14ac:dyDescent="0.35">
      <c r="A1" s="135" t="s">
        <v>18</v>
      </c>
      <c r="B1" s="136"/>
      <c r="C1" s="63"/>
    </row>
    <row r="2" spans="1:25" x14ac:dyDescent="0.35">
      <c r="A2" s="173" t="s">
        <v>62</v>
      </c>
      <c r="B2" s="174"/>
      <c r="C2" s="63"/>
    </row>
    <row r="3" spans="1:25" ht="15.5" x14ac:dyDescent="0.35">
      <c r="A3" s="141" t="s">
        <v>10</v>
      </c>
      <c r="B3" s="142"/>
      <c r="C3" s="63"/>
    </row>
    <row r="4" spans="1:25" x14ac:dyDescent="0.35">
      <c r="A4" s="175"/>
      <c r="B4" s="176"/>
      <c r="C4" s="63"/>
    </row>
    <row r="5" spans="1:25" s="16" customFormat="1" ht="16" customHeight="1" x14ac:dyDescent="0.35">
      <c r="A5" s="158" t="s">
        <v>22</v>
      </c>
      <c r="B5" s="180"/>
      <c r="C5" s="63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s="16" customFormat="1" ht="45" customHeight="1" x14ac:dyDescent="0.35">
      <c r="A6" s="159"/>
      <c r="B6" s="181"/>
      <c r="C6" s="63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 ht="16" customHeight="1" x14ac:dyDescent="0.35">
      <c r="A7" s="158" t="s">
        <v>19</v>
      </c>
      <c r="B7" s="160"/>
      <c r="C7" s="63"/>
    </row>
    <row r="8" spans="1:25" ht="16" customHeight="1" x14ac:dyDescent="0.35">
      <c r="A8" s="159"/>
      <c r="B8" s="161"/>
      <c r="C8" s="63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</row>
    <row r="9" spans="1:25" ht="16" customHeight="1" x14ac:dyDescent="0.35">
      <c r="A9" s="158" t="s">
        <v>20</v>
      </c>
      <c r="B9" s="160"/>
      <c r="C9" s="63"/>
    </row>
    <row r="10" spans="1:25" ht="16" customHeight="1" x14ac:dyDescent="0.35">
      <c r="A10" s="177"/>
      <c r="B10" s="161"/>
      <c r="C10" s="63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 spans="1:25" ht="16" customHeight="1" x14ac:dyDescent="0.35">
      <c r="A11" s="154" t="s">
        <v>21</v>
      </c>
      <c r="B11" s="41"/>
      <c r="C11" s="63"/>
    </row>
    <row r="12" spans="1:25" ht="16" customHeight="1" x14ac:dyDescent="0.35">
      <c r="A12" s="145"/>
      <c r="B12" s="41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 spans="1:25" ht="16" customHeight="1" x14ac:dyDescent="0.35">
      <c r="A13" s="155"/>
      <c r="B13" s="41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</row>
    <row r="14" spans="1:25" s="2" customFormat="1" x14ac:dyDescent="0.35"/>
    <row r="15" spans="1:25" s="2" customFormat="1" x14ac:dyDescent="0.35"/>
    <row r="16" spans="1:25" s="2" customFormat="1" ht="15.5" x14ac:dyDescent="0.35">
      <c r="A16" s="135" t="s">
        <v>18</v>
      </c>
      <c r="B16" s="136"/>
    </row>
    <row r="17" spans="1:2" s="2" customFormat="1" x14ac:dyDescent="0.35">
      <c r="A17" s="173" t="s">
        <v>63</v>
      </c>
      <c r="B17" s="174"/>
    </row>
    <row r="18" spans="1:2" s="2" customFormat="1" ht="15.5" x14ac:dyDescent="0.35">
      <c r="A18" s="141" t="s">
        <v>11</v>
      </c>
      <c r="B18" s="142"/>
    </row>
    <row r="19" spans="1:2" s="2" customFormat="1" x14ac:dyDescent="0.35">
      <c r="A19" s="175"/>
      <c r="B19" s="176"/>
    </row>
    <row r="20" spans="1:2" s="2" customFormat="1" ht="16" customHeight="1" x14ac:dyDescent="0.35">
      <c r="A20" s="158" t="s">
        <v>22</v>
      </c>
      <c r="B20" s="178"/>
    </row>
    <row r="21" spans="1:2" s="28" customFormat="1" ht="39" customHeight="1" x14ac:dyDescent="0.35">
      <c r="A21" s="159"/>
      <c r="B21" s="179"/>
    </row>
    <row r="22" spans="1:2" s="2" customFormat="1" ht="16" customHeight="1" x14ac:dyDescent="0.35">
      <c r="A22" s="158" t="s">
        <v>19</v>
      </c>
      <c r="B22" s="166"/>
    </row>
    <row r="23" spans="1:2" s="28" customFormat="1" ht="16" customHeight="1" x14ac:dyDescent="0.35">
      <c r="A23" s="159"/>
      <c r="B23" s="167"/>
    </row>
    <row r="24" spans="1:2" s="2" customFormat="1" ht="16" customHeight="1" x14ac:dyDescent="0.35">
      <c r="A24" s="150" t="s">
        <v>20</v>
      </c>
      <c r="B24" s="169"/>
    </row>
    <row r="25" spans="1:2" s="28" customFormat="1" ht="33" customHeight="1" x14ac:dyDescent="0.35">
      <c r="A25" s="168"/>
      <c r="B25" s="170"/>
    </row>
    <row r="26" spans="1:2" s="2" customFormat="1" ht="16" customHeight="1" x14ac:dyDescent="0.35">
      <c r="A26" s="171" t="s">
        <v>21</v>
      </c>
      <c r="B26" s="43"/>
    </row>
    <row r="27" spans="1:2" s="28" customFormat="1" ht="16" customHeight="1" x14ac:dyDescent="0.35">
      <c r="A27" s="172"/>
      <c r="B27" s="42"/>
    </row>
    <row r="28" spans="1:2" s="2" customFormat="1" x14ac:dyDescent="0.35"/>
    <row r="29" spans="1:2" s="2" customFormat="1" x14ac:dyDescent="0.35"/>
    <row r="30" spans="1:2" s="2" customFormat="1" x14ac:dyDescent="0.35"/>
    <row r="31" spans="1:2" s="2" customFormat="1" x14ac:dyDescent="0.35"/>
    <row r="32" spans="1:2" s="2" customFormat="1" x14ac:dyDescent="0.35"/>
    <row r="33" s="2" customFormat="1" x14ac:dyDescent="0.35"/>
    <row r="34" s="2" customFormat="1" x14ac:dyDescent="0.35"/>
    <row r="35" s="2" customFormat="1" x14ac:dyDescent="0.35"/>
    <row r="36" s="2" customFormat="1" x14ac:dyDescent="0.35"/>
    <row r="37" s="2" customFormat="1" x14ac:dyDescent="0.35"/>
    <row r="38" s="2" customFormat="1" x14ac:dyDescent="0.35"/>
    <row r="39" s="2" customFormat="1" x14ac:dyDescent="0.35"/>
    <row r="40" s="2" customFormat="1" x14ac:dyDescent="0.35"/>
    <row r="41" s="2" customFormat="1" x14ac:dyDescent="0.35"/>
    <row r="42" s="2" customFormat="1" x14ac:dyDescent="0.35"/>
    <row r="43" s="2" customFormat="1" x14ac:dyDescent="0.35"/>
    <row r="44" s="2" customFormat="1" x14ac:dyDescent="0.35"/>
    <row r="45" s="2" customFormat="1" x14ac:dyDescent="0.35"/>
    <row r="46" s="2" customFormat="1" x14ac:dyDescent="0.35"/>
    <row r="47" s="2" customFormat="1" x14ac:dyDescent="0.35"/>
    <row r="48" s="2" customFormat="1" x14ac:dyDescent="0.35"/>
    <row r="49" s="2" customFormat="1" x14ac:dyDescent="0.35"/>
    <row r="50" s="2" customFormat="1" x14ac:dyDescent="0.35"/>
    <row r="51" s="2" customFormat="1" x14ac:dyDescent="0.35"/>
    <row r="52" s="2" customFormat="1" x14ac:dyDescent="0.35"/>
    <row r="53" s="2" customFormat="1" x14ac:dyDescent="0.35"/>
    <row r="54" s="2" customFormat="1" x14ac:dyDescent="0.35"/>
    <row r="55" s="2" customFormat="1" x14ac:dyDescent="0.35"/>
    <row r="56" s="2" customFormat="1" x14ac:dyDescent="0.35"/>
    <row r="57" s="2" customFormat="1" x14ac:dyDescent="0.35"/>
    <row r="58" s="2" customFormat="1" x14ac:dyDescent="0.35"/>
    <row r="59" s="2" customFormat="1" x14ac:dyDescent="0.35"/>
    <row r="60" s="2" customFormat="1" x14ac:dyDescent="0.35"/>
    <row r="61" s="2" customFormat="1" x14ac:dyDescent="0.35"/>
    <row r="62" s="2" customFormat="1" x14ac:dyDescent="0.35"/>
    <row r="63" s="2" customFormat="1" x14ac:dyDescent="0.35"/>
    <row r="64" s="2" customFormat="1" x14ac:dyDescent="0.35"/>
    <row r="65" s="2" customFormat="1" x14ac:dyDescent="0.35"/>
    <row r="66" s="2" customFormat="1" x14ac:dyDescent="0.35"/>
    <row r="67" s="2" customFormat="1" x14ac:dyDescent="0.35"/>
    <row r="68" s="2" customFormat="1" x14ac:dyDescent="0.35"/>
    <row r="69" s="2" customFormat="1" x14ac:dyDescent="0.35"/>
    <row r="70" s="2" customFormat="1" x14ac:dyDescent="0.35"/>
    <row r="71" s="2" customFormat="1" x14ac:dyDescent="0.35"/>
    <row r="72" s="2" customFormat="1" x14ac:dyDescent="0.35"/>
    <row r="73" s="2" customFormat="1" x14ac:dyDescent="0.35"/>
    <row r="74" s="2" customFormat="1" x14ac:dyDescent="0.35"/>
    <row r="75" s="2" customFormat="1" x14ac:dyDescent="0.35"/>
    <row r="76" s="2" customFormat="1" x14ac:dyDescent="0.35"/>
    <row r="77" s="2" customFormat="1" x14ac:dyDescent="0.35"/>
    <row r="78" s="2" customFormat="1" x14ac:dyDescent="0.35"/>
    <row r="79" s="2" customFormat="1" x14ac:dyDescent="0.35"/>
    <row r="80" s="2" customFormat="1" x14ac:dyDescent="0.35"/>
    <row r="81" s="2" customFormat="1" x14ac:dyDescent="0.35"/>
    <row r="82" s="2" customFormat="1" x14ac:dyDescent="0.35"/>
    <row r="83" s="2" customFormat="1" x14ac:dyDescent="0.35"/>
    <row r="84" s="2" customFormat="1" x14ac:dyDescent="0.35"/>
    <row r="85" s="2" customFormat="1" x14ac:dyDescent="0.35"/>
    <row r="86" s="2" customFormat="1" x14ac:dyDescent="0.35"/>
    <row r="87" s="2" customFormat="1" x14ac:dyDescent="0.35"/>
    <row r="88" s="2" customFormat="1" x14ac:dyDescent="0.35"/>
    <row r="89" s="2" customFormat="1" x14ac:dyDescent="0.35"/>
    <row r="90" s="2" customFormat="1" x14ac:dyDescent="0.35"/>
    <row r="91" s="2" customFormat="1" x14ac:dyDescent="0.35"/>
    <row r="92" s="2" customFormat="1" x14ac:dyDescent="0.35"/>
    <row r="93" s="2" customFormat="1" x14ac:dyDescent="0.35"/>
    <row r="94" s="2" customFormat="1" x14ac:dyDescent="0.35"/>
    <row r="95" s="2" customFormat="1" x14ac:dyDescent="0.35"/>
    <row r="96" s="2" customFormat="1" x14ac:dyDescent="0.35"/>
    <row r="97" s="2" customFormat="1" x14ac:dyDescent="0.35"/>
    <row r="98" s="2" customFormat="1" x14ac:dyDescent="0.35"/>
    <row r="99" s="2" customFormat="1" x14ac:dyDescent="0.35"/>
    <row r="100" s="2" customFormat="1" x14ac:dyDescent="0.35"/>
    <row r="101" s="2" customFormat="1" x14ac:dyDescent="0.35"/>
    <row r="102" s="2" customFormat="1" x14ac:dyDescent="0.35"/>
    <row r="103" s="2" customFormat="1" x14ac:dyDescent="0.35"/>
    <row r="104" s="2" customFormat="1" x14ac:dyDescent="0.35"/>
    <row r="105" s="2" customFormat="1" x14ac:dyDescent="0.35"/>
    <row r="106" s="2" customFormat="1" x14ac:dyDescent="0.35"/>
    <row r="107" s="2" customFormat="1" x14ac:dyDescent="0.35"/>
    <row r="108" s="2" customFormat="1" x14ac:dyDescent="0.35"/>
    <row r="109" s="2" customFormat="1" x14ac:dyDescent="0.35"/>
    <row r="110" s="2" customFormat="1" x14ac:dyDescent="0.35"/>
    <row r="111" s="2" customFormat="1" x14ac:dyDescent="0.35"/>
    <row r="112" s="2" customFormat="1" x14ac:dyDescent="0.35"/>
    <row r="113" s="2" customFormat="1" x14ac:dyDescent="0.35"/>
    <row r="114" s="2" customFormat="1" x14ac:dyDescent="0.35"/>
    <row r="115" s="2" customFormat="1" x14ac:dyDescent="0.35"/>
    <row r="116" s="2" customFormat="1" x14ac:dyDescent="0.35"/>
    <row r="117" s="2" customFormat="1" x14ac:dyDescent="0.35"/>
    <row r="118" s="2" customFormat="1" x14ac:dyDescent="0.35"/>
    <row r="119" s="2" customFormat="1" x14ac:dyDescent="0.35"/>
    <row r="120" s="2" customFormat="1" x14ac:dyDescent="0.35"/>
    <row r="121" s="2" customFormat="1" x14ac:dyDescent="0.35"/>
    <row r="122" s="2" customFormat="1" x14ac:dyDescent="0.35"/>
    <row r="123" s="2" customFormat="1" x14ac:dyDescent="0.35"/>
    <row r="124" s="2" customFormat="1" x14ac:dyDescent="0.35"/>
    <row r="125" s="2" customFormat="1" x14ac:dyDescent="0.35"/>
    <row r="126" s="2" customFormat="1" x14ac:dyDescent="0.35"/>
    <row r="127" s="2" customFormat="1" x14ac:dyDescent="0.35"/>
    <row r="128" s="2" customFormat="1" x14ac:dyDescent="0.35"/>
    <row r="129" s="2" customFormat="1" x14ac:dyDescent="0.35"/>
    <row r="130" s="2" customFormat="1" x14ac:dyDescent="0.35"/>
    <row r="131" s="2" customFormat="1" x14ac:dyDescent="0.35"/>
    <row r="132" s="2" customFormat="1" x14ac:dyDescent="0.35"/>
    <row r="133" s="2" customFormat="1" x14ac:dyDescent="0.35"/>
    <row r="134" s="2" customFormat="1" x14ac:dyDescent="0.35"/>
    <row r="135" s="2" customFormat="1" x14ac:dyDescent="0.35"/>
    <row r="136" s="2" customFormat="1" x14ac:dyDescent="0.35"/>
    <row r="137" s="2" customFormat="1" x14ac:dyDescent="0.35"/>
    <row r="138" s="2" customFormat="1" x14ac:dyDescent="0.35"/>
    <row r="139" s="2" customFormat="1" x14ac:dyDescent="0.35"/>
    <row r="140" s="2" customFormat="1" x14ac:dyDescent="0.35"/>
    <row r="141" s="2" customFormat="1" x14ac:dyDescent="0.35"/>
    <row r="142" s="2" customFormat="1" x14ac:dyDescent="0.35"/>
    <row r="143" s="2" customFormat="1" x14ac:dyDescent="0.35"/>
    <row r="144" s="2" customFormat="1" x14ac:dyDescent="0.35"/>
  </sheetData>
  <mergeCells count="23">
    <mergeCell ref="A20:A21"/>
    <mergeCell ref="B20:B21"/>
    <mergeCell ref="A11:A13"/>
    <mergeCell ref="A1:B1"/>
    <mergeCell ref="A5:A6"/>
    <mergeCell ref="B5:B6"/>
    <mergeCell ref="A7:A8"/>
    <mergeCell ref="B7:B8"/>
    <mergeCell ref="C1:C11"/>
    <mergeCell ref="A2:B2"/>
    <mergeCell ref="A3:B3"/>
    <mergeCell ref="A4:B4"/>
    <mergeCell ref="A19:B19"/>
    <mergeCell ref="A16:B16"/>
    <mergeCell ref="A17:B17"/>
    <mergeCell ref="A18:B18"/>
    <mergeCell ref="A9:A10"/>
    <mergeCell ref="B9:B10"/>
    <mergeCell ref="A22:A23"/>
    <mergeCell ref="B22:B23"/>
    <mergeCell ref="A24:A25"/>
    <mergeCell ref="B24:B25"/>
    <mergeCell ref="A26:A27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zoomScale="80" zoomScaleNormal="80" workbookViewId="0">
      <selection activeCell="AB46" sqref="AB46"/>
    </sheetView>
  </sheetViews>
  <sheetFormatPr defaultColWidth="8.81640625" defaultRowHeight="14.5" x14ac:dyDescent="0.35"/>
  <sheetData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35"/>
  <sheetViews>
    <sheetView tabSelected="1" workbookViewId="0">
      <selection activeCell="C8" sqref="C8"/>
    </sheetView>
  </sheetViews>
  <sheetFormatPr defaultColWidth="8.7265625" defaultRowHeight="14.5" x14ac:dyDescent="0.35"/>
  <cols>
    <col min="1" max="1" width="77.1796875" style="1" customWidth="1"/>
    <col min="2" max="2" width="10.26953125" style="1" bestFit="1" customWidth="1"/>
    <col min="3" max="16" width="14" style="1" bestFit="1" customWidth="1"/>
    <col min="17" max="17" width="13.81640625" style="1" customWidth="1"/>
    <col min="18" max="16384" width="8.7265625" style="1"/>
  </cols>
  <sheetData>
    <row r="1" spans="1:17" ht="12.65" customHeight="1" x14ac:dyDescent="0.35"/>
    <row r="2" spans="1:17" x14ac:dyDescent="0.35">
      <c r="A2" s="39" t="s">
        <v>10</v>
      </c>
      <c r="B2" s="22" t="s">
        <v>30</v>
      </c>
      <c r="C2" s="22" t="s">
        <v>31</v>
      </c>
      <c r="D2" s="22" t="s">
        <v>32</v>
      </c>
      <c r="E2" s="22" t="s">
        <v>33</v>
      </c>
      <c r="F2" s="22" t="s">
        <v>34</v>
      </c>
      <c r="G2" s="22" t="s">
        <v>35</v>
      </c>
      <c r="H2" s="22" t="s">
        <v>36</v>
      </c>
      <c r="I2" s="22" t="s">
        <v>37</v>
      </c>
      <c r="J2" s="22" t="s">
        <v>38</v>
      </c>
      <c r="K2" s="22" t="s">
        <v>39</v>
      </c>
      <c r="L2" s="22" t="s">
        <v>40</v>
      </c>
      <c r="M2" s="22" t="s">
        <v>41</v>
      </c>
      <c r="N2" s="22" t="s">
        <v>42</v>
      </c>
      <c r="O2" s="22" t="s">
        <v>43</v>
      </c>
      <c r="P2" s="22" t="s">
        <v>44</v>
      </c>
      <c r="Q2" s="22" t="s">
        <v>45</v>
      </c>
    </row>
    <row r="3" spans="1:17" ht="15.5" x14ac:dyDescent="0.35">
      <c r="A3" s="33" t="s">
        <v>66</v>
      </c>
    </row>
    <row r="4" spans="1:17" ht="15.5" x14ac:dyDescent="0.35">
      <c r="A4" s="33" t="s">
        <v>68</v>
      </c>
      <c r="E4" s="26"/>
      <c r="F4" s="26"/>
    </row>
    <row r="5" spans="1:17" ht="15.5" x14ac:dyDescent="0.35">
      <c r="A5" s="33" t="s">
        <v>69</v>
      </c>
      <c r="E5" s="26"/>
      <c r="F5" s="26"/>
      <c r="G5" s="26"/>
    </row>
    <row r="6" spans="1:17" ht="15.5" x14ac:dyDescent="0.35">
      <c r="A6" s="34" t="s">
        <v>70</v>
      </c>
      <c r="B6" s="26"/>
    </row>
    <row r="7" spans="1:17" ht="15.5" x14ac:dyDescent="0.35">
      <c r="A7" s="33" t="s">
        <v>71</v>
      </c>
      <c r="B7" s="26"/>
      <c r="C7" s="26"/>
      <c r="E7" s="26"/>
      <c r="G7" s="26"/>
    </row>
    <row r="8" spans="1:17" ht="15.5" x14ac:dyDescent="0.35">
      <c r="A8" s="33"/>
      <c r="B8" s="26"/>
    </row>
    <row r="9" spans="1:17" ht="15.5" x14ac:dyDescent="0.35">
      <c r="A9" s="33"/>
      <c r="B9" s="26"/>
      <c r="M9" s="22"/>
    </row>
    <row r="10" spans="1:17" ht="15.5" x14ac:dyDescent="0.35">
      <c r="A10" s="33"/>
      <c r="B10" s="26"/>
      <c r="E10" s="26"/>
      <c r="M10" s="22"/>
    </row>
    <row r="11" spans="1:17" ht="15.5" x14ac:dyDescent="0.35">
      <c r="A11" s="33"/>
      <c r="B11" s="26"/>
      <c r="E11" s="26"/>
      <c r="G11" s="26"/>
      <c r="M11" s="22"/>
      <c r="Q11" s="26"/>
    </row>
    <row r="12" spans="1:17" ht="15.5" x14ac:dyDescent="0.35">
      <c r="A12" s="33"/>
      <c r="B12" s="26"/>
      <c r="G12" s="26"/>
      <c r="M12" s="22"/>
      <c r="Q12" s="26"/>
    </row>
    <row r="13" spans="1:17" ht="15.5" x14ac:dyDescent="0.35">
      <c r="A13" s="33"/>
      <c r="B13" s="26"/>
      <c r="M13" s="22"/>
      <c r="Q13" s="26"/>
    </row>
    <row r="14" spans="1:17" ht="15.5" x14ac:dyDescent="0.35">
      <c r="A14" s="23" t="s">
        <v>46</v>
      </c>
      <c r="B14" s="22">
        <f>SUM(B3:B13)</f>
        <v>0</v>
      </c>
      <c r="C14" s="44" t="str">
        <f>IF(SUM(C3:C13)&gt;0,B14-SUM(C3:C13),"")</f>
        <v/>
      </c>
      <c r="D14" s="44" t="str">
        <f>IF(SUM(D3:D13)&gt;0,C14-SUM(D3:D13),"")</f>
        <v/>
      </c>
      <c r="E14" s="44" t="str">
        <f t="shared" ref="E14:Q14" si="0">IF(SUM(E3:E13)&gt;0,D14-SUM(E3:E13),"")</f>
        <v/>
      </c>
      <c r="F14" s="44" t="str">
        <f t="shared" si="0"/>
        <v/>
      </c>
      <c r="G14" s="44" t="str">
        <f>IF(SUM(G3:G13)&gt;0,F14-SUM(G3:G13),"")</f>
        <v/>
      </c>
      <c r="H14" s="44" t="str">
        <f t="shared" si="0"/>
        <v/>
      </c>
      <c r="I14" s="44" t="str">
        <f t="shared" si="0"/>
        <v/>
      </c>
      <c r="J14" s="44" t="str">
        <f t="shared" si="0"/>
        <v/>
      </c>
      <c r="K14" s="44" t="str">
        <f t="shared" si="0"/>
        <v/>
      </c>
      <c r="L14" s="44" t="str">
        <f t="shared" si="0"/>
        <v/>
      </c>
      <c r="M14" s="44" t="str">
        <f t="shared" si="0"/>
        <v/>
      </c>
      <c r="N14" s="44" t="str">
        <f t="shared" si="0"/>
        <v/>
      </c>
      <c r="O14" s="44" t="str">
        <f t="shared" si="0"/>
        <v/>
      </c>
      <c r="P14" s="44" t="str">
        <f t="shared" si="0"/>
        <v/>
      </c>
      <c r="Q14" s="44" t="str">
        <f t="shared" si="0"/>
        <v/>
      </c>
    </row>
    <row r="15" spans="1:17" x14ac:dyDescent="0.35">
      <c r="A15" s="24" t="s">
        <v>47</v>
      </c>
      <c r="B15" s="22">
        <v>360</v>
      </c>
      <c r="C15" s="25">
        <f>B15-($B$15/COUNTA($C$2:$Q$2))</f>
        <v>336</v>
      </c>
      <c r="D15" s="25">
        <f>C15-($B$15/COUNTA($C$2:$Q$2))</f>
        <v>312</v>
      </c>
      <c r="E15" s="25">
        <f t="shared" ref="E15:Q15" si="1">D15-($B$15/COUNTA($C$2:$Q$2))</f>
        <v>288</v>
      </c>
      <c r="F15" s="25">
        <f t="shared" si="1"/>
        <v>264</v>
      </c>
      <c r="G15" s="25">
        <f t="shared" si="1"/>
        <v>240</v>
      </c>
      <c r="H15" s="25">
        <f t="shared" si="1"/>
        <v>216</v>
      </c>
      <c r="I15" s="25">
        <f t="shared" si="1"/>
        <v>192</v>
      </c>
      <c r="J15" s="25">
        <f t="shared" si="1"/>
        <v>168</v>
      </c>
      <c r="K15" s="25">
        <f t="shared" si="1"/>
        <v>144</v>
      </c>
      <c r="L15" s="25">
        <f t="shared" si="1"/>
        <v>120</v>
      </c>
      <c r="M15" s="25">
        <f t="shared" si="1"/>
        <v>96</v>
      </c>
      <c r="N15" s="25">
        <f t="shared" si="1"/>
        <v>72</v>
      </c>
      <c r="O15" s="25">
        <f t="shared" si="1"/>
        <v>48</v>
      </c>
      <c r="P15" s="25">
        <f t="shared" si="1"/>
        <v>24</v>
      </c>
      <c r="Q15" s="25">
        <f t="shared" si="1"/>
        <v>0</v>
      </c>
    </row>
    <row r="16" spans="1:17" ht="14.15" customHeight="1" x14ac:dyDescent="0.35"/>
    <row r="17" spans="1:17" x14ac:dyDescent="0.35">
      <c r="A17" s="39" t="s">
        <v>11</v>
      </c>
      <c r="B17" s="22" t="s">
        <v>30</v>
      </c>
      <c r="C17" s="22" t="s">
        <v>31</v>
      </c>
      <c r="D17" s="22" t="s">
        <v>32</v>
      </c>
      <c r="E17" s="22" t="s">
        <v>33</v>
      </c>
      <c r="F17" s="22" t="s">
        <v>34</v>
      </c>
      <c r="G17" s="22" t="s">
        <v>35</v>
      </c>
      <c r="H17" s="22" t="s">
        <v>36</v>
      </c>
      <c r="I17" s="22" t="s">
        <v>37</v>
      </c>
      <c r="J17" s="22" t="s">
        <v>38</v>
      </c>
      <c r="K17" s="22" t="s">
        <v>39</v>
      </c>
      <c r="L17" s="22" t="s">
        <v>40</v>
      </c>
      <c r="M17" s="22" t="s">
        <v>41</v>
      </c>
      <c r="N17" s="22" t="s">
        <v>42</v>
      </c>
      <c r="O17" s="22" t="s">
        <v>43</v>
      </c>
      <c r="P17" s="22" t="s">
        <v>44</v>
      </c>
      <c r="Q17" s="22" t="s">
        <v>45</v>
      </c>
    </row>
    <row r="18" spans="1:17" ht="15.5" x14ac:dyDescent="0.35">
      <c r="A18" s="30"/>
    </row>
    <row r="19" spans="1:17" ht="15.5" x14ac:dyDescent="0.35">
      <c r="A19" s="31"/>
    </row>
    <row r="20" spans="1:17" ht="15.5" x14ac:dyDescent="0.35">
      <c r="A20" s="31"/>
    </row>
    <row r="21" spans="1:17" ht="15.5" x14ac:dyDescent="0.35">
      <c r="A21" s="32"/>
      <c r="B21" s="26"/>
      <c r="E21" s="26"/>
      <c r="F21" s="26"/>
    </row>
    <row r="22" spans="1:17" ht="20.149999999999999" customHeight="1" x14ac:dyDescent="0.35">
      <c r="A22" s="32"/>
      <c r="B22" s="26"/>
    </row>
    <row r="23" spans="1:17" ht="15.5" x14ac:dyDescent="0.35">
      <c r="A23" s="32"/>
      <c r="B23" s="26"/>
    </row>
    <row r="24" spans="1:17" ht="18" customHeight="1" x14ac:dyDescent="0.35">
      <c r="A24" s="32"/>
      <c r="B24" s="26"/>
      <c r="E24" s="26"/>
      <c r="F24" s="26"/>
      <c r="G24" s="26"/>
    </row>
    <row r="25" spans="1:17" ht="15.5" x14ac:dyDescent="0.35">
      <c r="A25" s="32"/>
      <c r="B25" s="26"/>
    </row>
    <row r="26" spans="1:17" ht="15.5" x14ac:dyDescent="0.35">
      <c r="A26" s="32"/>
      <c r="B26" s="26"/>
    </row>
    <row r="27" spans="1:17" ht="15.5" x14ac:dyDescent="0.35">
      <c r="A27" s="32"/>
      <c r="B27" s="26"/>
    </row>
    <row r="28" spans="1:17" ht="15.5" x14ac:dyDescent="0.35">
      <c r="A28" s="32"/>
      <c r="B28" s="26"/>
    </row>
    <row r="29" spans="1:17" ht="15.5" x14ac:dyDescent="0.35">
      <c r="A29" s="32"/>
      <c r="B29" s="26"/>
    </row>
    <row r="30" spans="1:17" ht="15.5" x14ac:dyDescent="0.35">
      <c r="A30" s="32"/>
      <c r="B30" s="26"/>
      <c r="M30" s="22"/>
      <c r="N30" s="26"/>
      <c r="O30" s="26"/>
      <c r="P30" s="26"/>
      <c r="Q30" s="26"/>
    </row>
    <row r="31" spans="1:17" ht="15.5" x14ac:dyDescent="0.35">
      <c r="A31" s="31"/>
      <c r="B31" s="26"/>
      <c r="M31" s="22"/>
    </row>
    <row r="32" spans="1:17" ht="15.5" x14ac:dyDescent="0.35">
      <c r="A32" s="31"/>
      <c r="B32" s="26"/>
      <c r="E32" s="26"/>
      <c r="M32" s="22"/>
    </row>
    <row r="33" spans="1:17" ht="15.5" x14ac:dyDescent="0.35">
      <c r="A33" s="29"/>
      <c r="B33" s="26"/>
      <c r="F33" s="26"/>
      <c r="M33" s="22"/>
    </row>
    <row r="34" spans="1:17" ht="15.5" x14ac:dyDescent="0.35">
      <c r="A34" s="23" t="s">
        <v>46</v>
      </c>
      <c r="B34" s="22">
        <f>SUM(B18:B33)</f>
        <v>0</v>
      </c>
      <c r="C34" s="44" t="str">
        <f>IF(SUM(C18:C33)&gt;0,B34-SUM(C18:C33),"")</f>
        <v/>
      </c>
      <c r="D34" s="44" t="str">
        <f t="shared" ref="D34:Q34" si="2">IF(SUM(D18:D33)&gt;0,C34-SUM(D18:D33),"")</f>
        <v/>
      </c>
      <c r="E34" s="44" t="str">
        <f t="shared" si="2"/>
        <v/>
      </c>
      <c r="F34" s="44" t="str">
        <f t="shared" si="2"/>
        <v/>
      </c>
      <c r="G34" s="44" t="str">
        <f t="shared" si="2"/>
        <v/>
      </c>
      <c r="H34" s="44" t="str">
        <f t="shared" si="2"/>
        <v/>
      </c>
      <c r="I34" s="44" t="str">
        <f t="shared" si="2"/>
        <v/>
      </c>
      <c r="J34" s="44" t="str">
        <f t="shared" si="2"/>
        <v/>
      </c>
      <c r="K34" s="44" t="str">
        <f t="shared" si="2"/>
        <v/>
      </c>
      <c r="L34" s="44" t="str">
        <f t="shared" si="2"/>
        <v/>
      </c>
      <c r="M34" s="44" t="str">
        <f t="shared" si="2"/>
        <v/>
      </c>
      <c r="N34" s="44" t="str">
        <f t="shared" si="2"/>
        <v/>
      </c>
      <c r="O34" s="44" t="str">
        <f t="shared" si="2"/>
        <v/>
      </c>
      <c r="P34" s="44" t="str">
        <f t="shared" si="2"/>
        <v/>
      </c>
      <c r="Q34" s="44" t="str">
        <f t="shared" si="2"/>
        <v/>
      </c>
    </row>
    <row r="35" spans="1:17" x14ac:dyDescent="0.35">
      <c r="A35" s="24" t="s">
        <v>47</v>
      </c>
      <c r="B35" s="22">
        <f>B34</f>
        <v>0</v>
      </c>
      <c r="C35" s="25">
        <f>B35-($B$34/COUNTA($C$17:$Q$17))</f>
        <v>0</v>
      </c>
      <c r="D35" s="25">
        <f t="shared" ref="D35:Q35" si="3">C35-($B$34/COUNTA($C$17:$Q$17))</f>
        <v>0</v>
      </c>
      <c r="E35" s="25">
        <f t="shared" si="3"/>
        <v>0</v>
      </c>
      <c r="F35" s="25">
        <f t="shared" si="3"/>
        <v>0</v>
      </c>
      <c r="G35" s="25">
        <f t="shared" si="3"/>
        <v>0</v>
      </c>
      <c r="H35" s="25">
        <f t="shared" si="3"/>
        <v>0</v>
      </c>
      <c r="I35" s="25">
        <f t="shared" si="3"/>
        <v>0</v>
      </c>
      <c r="J35" s="25">
        <f t="shared" si="3"/>
        <v>0</v>
      </c>
      <c r="K35" s="25">
        <f t="shared" si="3"/>
        <v>0</v>
      </c>
      <c r="L35" s="25">
        <f t="shared" si="3"/>
        <v>0</v>
      </c>
      <c r="M35" s="25">
        <f t="shared" si="3"/>
        <v>0</v>
      </c>
      <c r="N35" s="25">
        <f t="shared" si="3"/>
        <v>0</v>
      </c>
      <c r="O35" s="25">
        <f t="shared" si="3"/>
        <v>0</v>
      </c>
      <c r="P35" s="25">
        <f t="shared" si="3"/>
        <v>0</v>
      </c>
      <c r="Q35" s="25">
        <f t="shared" si="3"/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Product Backlog</vt:lpstr>
      <vt:lpstr>Planning Poker</vt:lpstr>
      <vt:lpstr>Histórias de Usuário</vt:lpstr>
      <vt:lpstr>Sprint 1</vt:lpstr>
      <vt:lpstr>Sprint 2</vt:lpstr>
      <vt:lpstr>Revisão da Sprint</vt:lpstr>
      <vt:lpstr>Retrospectiva da Sprint</vt:lpstr>
      <vt:lpstr>Grafico</vt:lpstr>
      <vt:lpstr>Planej Grafico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Blueshift</dc:creator>
  <cp:lastModifiedBy>BlueShift</cp:lastModifiedBy>
  <dcterms:created xsi:type="dcterms:W3CDTF">2019-08-16T20:09:51Z</dcterms:created>
  <dcterms:modified xsi:type="dcterms:W3CDTF">2021-02-18T18:36:05Z</dcterms:modified>
</cp:coreProperties>
</file>