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1"/>
  <workbookPr/>
  <mc:AlternateContent xmlns:mc="http://schemas.openxmlformats.org/markup-compatibility/2006">
    <mc:Choice Requires="x15">
      <x15ac:absPath xmlns:x15ac="http://schemas.microsoft.com/office/spreadsheetml/2010/11/ac" url="C:\Users\BlueShift\Documents\Projeto Integrado\Documentacao\"/>
    </mc:Choice>
  </mc:AlternateContent>
  <xr:revisionPtr revIDLastSave="0" documentId="13_ncr:1_{1BC8B93D-8EEF-419C-B681-EDD28B3DBF51}" xr6:coauthVersionLast="36" xr6:coauthVersionMax="36" xr10:uidLastSave="{00000000-0000-0000-0000-000000000000}"/>
  <bookViews>
    <workbookView xWindow="1860" yWindow="0" windowWidth="18255" windowHeight="6435" firstSheet="4" activeTab="8" xr2:uid="{00000000-000D-0000-FFFF-FFFF00000000}"/>
  </bookViews>
  <sheets>
    <sheet name="Product Backlog" sheetId="4" r:id="rId1"/>
    <sheet name="Planning Poker" sheetId="3" r:id="rId2"/>
    <sheet name="Histórias de Usuário" sheetId="13" r:id="rId3"/>
    <sheet name="Sprint 1" sheetId="7" r:id="rId4"/>
    <sheet name="Sprint 2" sheetId="5" r:id="rId5"/>
    <sheet name="Revisão da Sprint" sheetId="8" r:id="rId6"/>
    <sheet name="Retrospectiva da Sprint" sheetId="9" r:id="rId7"/>
    <sheet name="Grafico" sheetId="15" r:id="rId8"/>
    <sheet name="Planej Grafico" sheetId="14" r:id="rId9"/>
  </sheets>
  <definedNames>
    <definedName name="_xlnm._FilterDatabase" localSheetId="6" hidden="1">'Retrospectiva da Sprint'!#REF!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7" i="14" l="1"/>
  <c r="B8" i="14"/>
  <c r="C18" i="14" l="1"/>
  <c r="C17" i="14"/>
  <c r="C8" i="14"/>
  <c r="D8" i="14" s="1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D17" i="14" l="1"/>
  <c r="E17" i="14" s="1"/>
  <c r="F17" i="14" s="1"/>
  <c r="G17" i="14" s="1"/>
  <c r="H17" i="14" s="1"/>
  <c r="I17" i="14" s="1"/>
  <c r="D18" i="14"/>
  <c r="E18" i="14" s="1"/>
  <c r="F18" i="14" s="1"/>
  <c r="G18" i="14" s="1"/>
  <c r="H18" i="14" s="1"/>
  <c r="I18" i="14" s="1"/>
  <c r="C9" i="14"/>
  <c r="D9" i="14" s="1"/>
  <c r="E9" i="14" s="1"/>
  <c r="F9" i="14" s="1"/>
  <c r="G9" i="14" s="1"/>
  <c r="H9" i="14" s="1"/>
  <c r="I9" i="14" s="1"/>
  <c r="J9" i="14" s="1"/>
  <c r="K9" i="14" s="1"/>
  <c r="L9" i="14" s="1"/>
  <c r="M9" i="14" s="1"/>
  <c r="N9" i="14" s="1"/>
  <c r="O9" i="14" s="1"/>
  <c r="P9" i="14" s="1"/>
  <c r="Q9" i="14" s="1"/>
</calcChain>
</file>

<file path=xl/sharedStrings.xml><?xml version="1.0" encoding="utf-8"?>
<sst xmlns="http://schemas.openxmlformats.org/spreadsheetml/2006/main" count="231" uniqueCount="124">
  <si>
    <t>R</t>
  </si>
  <si>
    <t>#</t>
  </si>
  <si>
    <t>Histórico de pontos</t>
  </si>
  <si>
    <t>Descrição da atividade</t>
  </si>
  <si>
    <t>Prioridade</t>
  </si>
  <si>
    <t>Product Backlog</t>
  </si>
  <si>
    <t>Estimativa</t>
  </si>
  <si>
    <t>Sprint Planning</t>
  </si>
  <si>
    <t>Data</t>
  </si>
  <si>
    <t>Sprint 1</t>
  </si>
  <si>
    <t>Sprint 2</t>
  </si>
  <si>
    <t>Revisão da Sprint</t>
  </si>
  <si>
    <t>O que foi entregue</t>
  </si>
  <si>
    <t>Quais os impedimentos da sprint</t>
  </si>
  <si>
    <t>Como foram resolvidos os Impedimentos</t>
  </si>
  <si>
    <t>Sugestões e Feedback do PO</t>
  </si>
  <si>
    <t>Retrospectiva da Sprint</t>
  </si>
  <si>
    <t>Melhorias para a equipe</t>
  </si>
  <si>
    <t>Melhoria que será implantada na proxima sprint</t>
  </si>
  <si>
    <t>Definition of Done mudou ?</t>
  </si>
  <si>
    <t>Dificuldades no processo de desenvolvimento</t>
  </si>
  <si>
    <t>o que será feito</t>
  </si>
  <si>
    <t>como será feito</t>
  </si>
  <si>
    <t xml:space="preserve">Quem? </t>
  </si>
  <si>
    <t xml:space="preserve">O que? </t>
  </si>
  <si>
    <t xml:space="preserve">Para que? </t>
  </si>
  <si>
    <t>Histórias de Usuário</t>
  </si>
  <si>
    <t xml:space="preserve">Teste de Aceitação </t>
  </si>
  <si>
    <t>Total Horas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</si>
  <si>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</si>
  <si>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</si>
  <si>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</si>
  <si>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</si>
  <si>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</si>
  <si>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</si>
  <si>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</si>
  <si>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</si>
  <si>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</si>
  <si>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</si>
  <si>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</si>
  <si>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</si>
  <si>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</si>
  <si>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</si>
  <si>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</si>
  <si>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Restante</t>
  </si>
  <si>
    <t>Estimado</t>
  </si>
  <si>
    <t>M</t>
  </si>
  <si>
    <t>G</t>
  </si>
  <si>
    <t>Jonathan</t>
  </si>
  <si>
    <t>pp</t>
  </si>
  <si>
    <t>p</t>
  </si>
  <si>
    <t>m</t>
  </si>
  <si>
    <t>gg</t>
  </si>
  <si>
    <t>g</t>
  </si>
  <si>
    <t>TAMANHO</t>
  </si>
  <si>
    <t>PONTOS</t>
  </si>
  <si>
    <t>Deborah</t>
  </si>
  <si>
    <t>Eduarda</t>
  </si>
  <si>
    <t xml:space="preserve">Data da Retrospectiva.   </t>
  </si>
  <si>
    <t xml:space="preserve">Data da Retrospectiva    </t>
  </si>
  <si>
    <t>Definition of Done: Tratamento e Cloud Computer</t>
  </si>
  <si>
    <t>Objetivo da Sprint: Realizar planajemento da estrutura do projeto para fazer o tratamento via GCP</t>
  </si>
  <si>
    <t>Realizar extração da base de dados via DATASUS</t>
  </si>
  <si>
    <t>P</t>
  </si>
  <si>
    <t>Realizar Required field no Computer Enginer do gcp</t>
  </si>
  <si>
    <t>Realizar o tratamento da base via jupyter notebook</t>
  </si>
  <si>
    <t>Realizar o armazenamento da base de dados Cloud Storage via GCP</t>
  </si>
  <si>
    <t>Realizar o Insert da base de dados no BigQuery</t>
  </si>
  <si>
    <t>Realizar o tratamento da base no BigQuery</t>
  </si>
  <si>
    <t>Realizar a conexão do BigQuery para o PowerBI</t>
  </si>
  <si>
    <t>Realizar o tratamento das tables Dim e Fato no PowerBI</t>
  </si>
  <si>
    <t>Realizar as procedures das tables Dim e Fato</t>
  </si>
  <si>
    <t xml:space="preserve">Realizar o Dashboard com analises de indicadores </t>
  </si>
  <si>
    <t>PP</t>
  </si>
  <si>
    <t xml:space="preserve">Ser capaz de realizar o tratamento da base dados </t>
  </si>
  <si>
    <t>Para criar uma analise de indicadores sobre a depressão no estado de SP</t>
  </si>
  <si>
    <r>
      <t xml:space="preserve">GCP: </t>
    </r>
    <r>
      <rPr>
        <sz val="11"/>
        <rFont val="Calibri"/>
        <family val="2"/>
      </rPr>
      <t>Quero fazer o ETL da base de dados do DATASUS</t>
    </r>
  </si>
  <si>
    <t>GCP Inválido</t>
  </si>
  <si>
    <t>GCP Válido</t>
  </si>
  <si>
    <t>Dominio</t>
  </si>
  <si>
    <t>Google Clould Platform vai realizar a cosulta do dominio que foi fornecido para poder obter os dados.</t>
  </si>
  <si>
    <r>
      <t xml:space="preserve">Google Cloud Platform vai consultar o tamanho da base de dados. Caso o suporte fornecido pela conta GCP seja </t>
    </r>
    <r>
      <rPr>
        <b/>
        <sz val="11"/>
        <rFont val="Calibri"/>
        <family val="2"/>
      </rPr>
      <t>&lt;</t>
    </r>
    <r>
      <rPr>
        <sz val="11"/>
        <rFont val="Calibri"/>
        <family val="2"/>
      </rPr>
      <t xml:space="preserve"> do que o tamanho do banco de dados, aparecerá uma notificação invalidando a ação.</t>
    </r>
  </si>
  <si>
    <r>
      <t>Google Cloud Platform vai consultar o tamanho da base de dados. Caso o suporte fornecido pela conta GCP seja</t>
    </r>
    <r>
      <rPr>
        <b/>
        <sz val="11"/>
        <rFont val="Calibri"/>
        <family val="2"/>
      </rPr>
      <t xml:space="preserve"> =&gt;</t>
    </r>
    <r>
      <rPr>
        <sz val="11"/>
        <rFont val="Calibri"/>
        <family val="2"/>
      </rPr>
      <t xml:space="preserve"> do que o tamanho do banco de dados, aparecerá uma notificação validando a ação.</t>
    </r>
  </si>
  <si>
    <r>
      <t xml:space="preserve">DATASUS: </t>
    </r>
    <r>
      <rPr>
        <sz val="11"/>
        <rFont val="Calibri"/>
        <family val="2"/>
      </rPr>
      <t>Quero importar base de dados do datasus para GCP</t>
    </r>
  </si>
  <si>
    <t>Ser capaz de armazenar a base de dados do datasus no meu GCP</t>
  </si>
  <si>
    <t>Para realizar o tratamento e consulta dessa base no GCP</t>
  </si>
  <si>
    <t xml:space="preserve">DATASUS fora do ar </t>
  </si>
  <si>
    <t>Não é possível acessar esse site</t>
  </si>
  <si>
    <t>É possível acessar esse site</t>
  </si>
  <si>
    <r>
      <t xml:space="preserve">Caminho do site foi informado errado, portanto irá aparecer a seguinte mensagem: </t>
    </r>
    <r>
      <rPr>
        <b/>
        <sz val="11"/>
        <rFont val="Calibri"/>
        <family val="2"/>
      </rPr>
      <t xml:space="preserve">Não é possível acessar esse site                                                                                    </t>
    </r>
    <r>
      <rPr>
        <sz val="11"/>
        <rFont val="Calibri"/>
        <family val="2"/>
      </rPr>
      <t>A página ftp://ftp.datasus.gov.br/disse pode estar temporariamente indisponível ou pode ter sido movida permanentemente para um novo endereço da Web.
ERR_FTP_FAILED</t>
    </r>
  </si>
  <si>
    <t>Caminho do site foi informado corretamente, portanto será possivel acessar o site.</t>
  </si>
  <si>
    <r>
      <t xml:space="preserve">POWER BI: </t>
    </r>
    <r>
      <rPr>
        <sz val="11"/>
        <rFont val="Calibri"/>
        <family val="2"/>
      </rPr>
      <t>Quero fazer o dashboard das bases de dados</t>
    </r>
  </si>
  <si>
    <t>Não conseguir conexão</t>
  </si>
  <si>
    <t>Conseguir conexão</t>
  </si>
  <si>
    <t>Não conseguir conexão com o GCP para importar as bases de dados.</t>
  </si>
  <si>
    <t>Conseguir importar todas as bases de dados do GCP, para realizar o tratamento.</t>
  </si>
  <si>
    <t xml:space="preserve">Ser capaz de tratar e analisar visualmente às informações </t>
  </si>
  <si>
    <t>Para facilitar a visualização do público interessado.</t>
  </si>
  <si>
    <t>18/02/2021 - 23/02/2021</t>
  </si>
  <si>
    <t>24/02/2021 - 01/03/2021</t>
  </si>
  <si>
    <t xml:space="preserve">Definition of Done:  Tratamento e Dashboard </t>
  </si>
  <si>
    <t>Objetivo da Sprint: Realizar o tratamento dos dados no GCP e a criação do Dashboard</t>
  </si>
  <si>
    <t>Realizar a conversão da base de dados via Docker</t>
  </si>
  <si>
    <t>1- Os dados estavam com acesso privado; 2- O tipo de formato da base (Dbc); 3- A IDE (Tabwin) defasada</t>
  </si>
  <si>
    <t xml:space="preserve">1- Acesso disponibilizado para a base; 2- Instalar uma imagem do docker para realizar a conversão; 3- Usando IDE (Docker, Python) mais modernas </t>
  </si>
  <si>
    <t xml:space="preserve">Contato com o psicologo da empresa </t>
  </si>
  <si>
    <t xml:space="preserve">1- Dificuldade no carregamento das tabelas Dim e Fato no Power Query; 2 - Dificuldade com um filtro avançado </t>
  </si>
  <si>
    <t>1- Foi carregado uma tabela de cada vez; 2 - Realizando pesquisas na internet.</t>
  </si>
  <si>
    <t>Foram encontradas dificuldades na conversão do formato da base de dados do DATASUS, pois ela é fornecida compactada no formato .dbc e a IDE DATASUS e defasada quando se trata de conversao de varios arquivos simutaneamente.</t>
  </si>
  <si>
    <t>A falta de conhecimento com o Github, para o uso de arquivos compartilhados.</t>
  </si>
  <si>
    <t xml:space="preserve">Será implementado as tabelas via BigQuery e o Dashboard </t>
  </si>
  <si>
    <t xml:space="preserve">PO aceitou as historias do usúario </t>
  </si>
  <si>
    <t xml:space="preserve">O código Jupyter foi refeito </t>
  </si>
  <si>
    <t xml:space="preserve">Testes funcionais aprovados </t>
  </si>
  <si>
    <t xml:space="preserve">Dificuldade na importação das bases para o Power Bi, pois não aceitava subir todos os arquivos do BigQuery de uma vez. </t>
  </si>
  <si>
    <t>Aprofundar o conhecimento na plataforma Power Bi</t>
  </si>
  <si>
    <t>N/A</t>
  </si>
  <si>
    <t>Ajuste pontuais nas tabelas importadas</t>
  </si>
  <si>
    <t>Criação do Layout do Dashboard</t>
  </si>
  <si>
    <t>Realizar teste de funcionalidade</t>
  </si>
  <si>
    <t xml:space="preserve"> Realizar teste de funcionalidade</t>
  </si>
  <si>
    <t xml:space="preserve">Realizar teste de funcionalidade </t>
  </si>
  <si>
    <t>Data da Revisão  23-03</t>
  </si>
  <si>
    <t>Data da Revisão 01-03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</si>
</sst>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\-yy;@"/>
    <numFmt numFmtId="165" formatCode="[$-416]dd\-mmm\-yy;@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  <font>
      <b/>
      <sz val="12"/>
      <name val="Calibri"/>
      <family val="2"/>
    </font>
    <font>
      <b/>
      <sz val="12"/>
      <color rgb="FFFF0000"/>
      <name val="Calibri"/>
      <family val="2"/>
    </font>
    <font>
      <sz val="12"/>
      <color rgb="FF000000"/>
      <name val="Calibri"/>
      <family val="2"/>
    </font>
    <font>
      <b/>
      <sz val="12"/>
      <color theme="0"/>
      <name val="Calibri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2"/>
      <name val="Calibri"/>
      <family val="2"/>
    </font>
    <font>
      <b/>
      <sz val="11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  <fill>
      <patternFill patternType="solid">
        <fgColor rgb="FF44546A"/>
        <bgColor rgb="FF44546A"/>
      </patternFill>
    </fill>
  </fills>
  <borders count="5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0" fillId="0" borderId="0" xfId="0" applyFont="1" applyAlignment="1"/>
    <xf numFmtId="0" fontId="0" fillId="2" borderId="0" xfId="0" applyFont="1" applyFill="1" applyAlignment="1"/>
    <xf numFmtId="0" fontId="6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wrapText="1"/>
    </xf>
    <xf numFmtId="0" fontId="0" fillId="2" borderId="0" xfId="0" applyFont="1" applyFill="1" applyAlignment="1"/>
    <xf numFmtId="0" fontId="1" fillId="2" borderId="0" xfId="0" applyFont="1" applyFill="1" applyAlignment="1"/>
    <xf numFmtId="0" fontId="0" fillId="2" borderId="0" xfId="0" applyFill="1"/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3" fillId="0" borderId="17" xfId="0" applyFont="1" applyBorder="1"/>
    <xf numFmtId="0" fontId="3" fillId="0" borderId="18" xfId="0" applyFont="1" applyBorder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8" xfId="0" applyFont="1" applyBorder="1" applyAlignment="1"/>
    <xf numFmtId="0" fontId="7" fillId="2" borderId="8" xfId="0" applyFont="1" applyFill="1" applyBorder="1" applyAlignment="1">
      <alignment wrapText="1"/>
    </xf>
    <xf numFmtId="0" fontId="10" fillId="0" borderId="8" xfId="0" applyFont="1" applyBorder="1" applyAlignment="1"/>
    <xf numFmtId="1" fontId="0" fillId="0" borderId="8" xfId="0" applyNumberFormat="1" applyFont="1" applyBorder="1" applyAlignment="1"/>
    <xf numFmtId="0" fontId="0" fillId="0" borderId="0" xfId="0" applyFont="1" applyFill="1" applyBorder="1" applyAlignment="1"/>
    <xf numFmtId="0" fontId="0" fillId="2" borderId="0" xfId="0" applyFont="1" applyFill="1" applyAlignment="1"/>
    <xf numFmtId="0" fontId="7" fillId="0" borderId="37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/>
    </xf>
    <xf numFmtId="0" fontId="7" fillId="0" borderId="35" xfId="0" applyFont="1" applyBorder="1" applyAlignment="1">
      <alignment horizontal="center" wrapText="1"/>
    </xf>
    <xf numFmtId="164" fontId="7" fillId="0" borderId="6" xfId="0" applyNumberFormat="1" applyFont="1" applyBorder="1" applyAlignment="1">
      <alignment horizontal="center"/>
    </xf>
    <xf numFmtId="165" fontId="7" fillId="0" borderId="6" xfId="0" applyNumberFormat="1" applyFont="1" applyBorder="1" applyAlignment="1">
      <alignment horizontal="center"/>
    </xf>
    <xf numFmtId="0" fontId="0" fillId="2" borderId="33" xfId="0" applyFont="1" applyFill="1" applyBorder="1" applyAlignment="1"/>
    <xf numFmtId="0" fontId="1" fillId="0" borderId="27" xfId="0" applyFont="1" applyBorder="1" applyAlignment="1">
      <alignment horizontal="center"/>
    </xf>
    <xf numFmtId="0" fontId="0" fillId="2" borderId="39" xfId="0" applyFont="1" applyFill="1" applyBorder="1" applyAlignment="1"/>
    <xf numFmtId="0" fontId="7" fillId="0" borderId="28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0" fillId="0" borderId="42" xfId="0" applyBorder="1"/>
    <xf numFmtId="0" fontId="12" fillId="7" borderId="0" xfId="0" applyFont="1" applyFill="1" applyAlignment="1"/>
    <xf numFmtId="0" fontId="0" fillId="2" borderId="8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2" borderId="0" xfId="0" applyFill="1" applyBorder="1"/>
    <xf numFmtId="0" fontId="0" fillId="6" borderId="14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5" xfId="0" applyFill="1" applyBorder="1" applyAlignment="1">
      <alignment horizontal="center"/>
    </xf>
    <xf numFmtId="0" fontId="0" fillId="5" borderId="46" xfId="0" applyFill="1" applyBorder="1"/>
    <xf numFmtId="0" fontId="0" fillId="2" borderId="0" xfId="0" applyFont="1" applyFill="1" applyAlignment="1"/>
    <xf numFmtId="14" fontId="7" fillId="0" borderId="6" xfId="0" applyNumberFormat="1" applyFont="1" applyBorder="1" applyAlignment="1">
      <alignment horizontal="center"/>
    </xf>
    <xf numFmtId="0" fontId="0" fillId="6" borderId="25" xfId="0" applyFill="1" applyBorder="1" applyAlignment="1">
      <alignment horizontal="center" vertical="center"/>
    </xf>
    <xf numFmtId="0" fontId="0" fillId="6" borderId="40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0" xfId="0" applyFont="1" applyBorder="1" applyAlignment="1"/>
    <xf numFmtId="0" fontId="0" fillId="0" borderId="49" xfId="0" applyBorder="1"/>
    <xf numFmtId="0" fontId="8" fillId="4" borderId="1" xfId="0" applyFont="1" applyFill="1" applyBorder="1" applyAlignment="1">
      <alignment horizontal="center"/>
    </xf>
    <xf numFmtId="0" fontId="4" fillId="3" borderId="2" xfId="0" applyFont="1" applyFill="1" applyBorder="1"/>
    <xf numFmtId="0" fontId="4" fillId="3" borderId="3" xfId="0" applyFont="1" applyFill="1" applyBorder="1"/>
    <xf numFmtId="0" fontId="0" fillId="2" borderId="0" xfId="0" applyFont="1" applyFill="1" applyAlignment="1"/>
    <xf numFmtId="0" fontId="3" fillId="0" borderId="7" xfId="0" applyFont="1" applyBorder="1"/>
    <xf numFmtId="0" fontId="3" fillId="0" borderId="6" xfId="0" applyFont="1" applyBorder="1"/>
    <xf numFmtId="0" fontId="8" fillId="4" borderId="9" xfId="0" applyFont="1" applyFill="1" applyBorder="1" applyAlignment="1">
      <alignment horizontal="center"/>
    </xf>
    <xf numFmtId="0" fontId="4" fillId="3" borderId="7" xfId="0" applyFont="1" applyFill="1" applyBorder="1"/>
    <xf numFmtId="0" fontId="4" fillId="3" borderId="6" xfId="0" applyFont="1" applyFill="1" applyBorder="1"/>
    <xf numFmtId="0" fontId="3" fillId="0" borderId="4" xfId="0" applyFont="1" applyBorder="1"/>
    <xf numFmtId="0" fontId="0" fillId="6" borderId="25" xfId="0" applyFill="1" applyBorder="1" applyAlignment="1">
      <alignment horizontal="center" vertical="center"/>
    </xf>
    <xf numFmtId="0" fontId="3" fillId="0" borderId="0" xfId="0" applyFont="1"/>
    <xf numFmtId="0" fontId="12" fillId="7" borderId="7" xfId="0" applyFont="1" applyFill="1" applyBorder="1" applyAlignment="1">
      <alignment horizontal="center"/>
    </xf>
    <xf numFmtId="0" fontId="0" fillId="6" borderId="24" xfId="0" applyFill="1" applyBorder="1" applyAlignment="1">
      <alignment horizontal="center" vertical="center"/>
    </xf>
    <xf numFmtId="0" fontId="0" fillId="6" borderId="43" xfId="0" applyFill="1" applyBorder="1" applyAlignment="1">
      <alignment horizontal="center" vertical="center"/>
    </xf>
    <xf numFmtId="0" fontId="0" fillId="6" borderId="44" xfId="0" applyFill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top" wrapText="1"/>
    </xf>
    <xf numFmtId="0" fontId="3" fillId="0" borderId="25" xfId="0" applyFont="1" applyBorder="1" applyAlignment="1">
      <alignment horizontal="center" vertical="top" wrapText="1"/>
    </xf>
    <xf numFmtId="0" fontId="3" fillId="0" borderId="26" xfId="0" applyFont="1" applyBorder="1" applyAlignment="1">
      <alignment horizontal="center" vertical="top" wrapText="1"/>
    </xf>
    <xf numFmtId="0" fontId="3" fillId="0" borderId="17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 wrapText="1"/>
    </xf>
    <xf numFmtId="0" fontId="3" fillId="0" borderId="38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8" fillId="4" borderId="22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48" xfId="0" applyFont="1" applyFill="1" applyBorder="1" applyAlignment="1">
      <alignment horizontal="center"/>
    </xf>
    <xf numFmtId="0" fontId="0" fillId="2" borderId="33" xfId="0" applyFont="1" applyFill="1" applyBorder="1" applyAlignment="1"/>
    <xf numFmtId="0" fontId="8" fillId="4" borderId="2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top" wrapText="1"/>
    </xf>
    <xf numFmtId="0" fontId="3" fillId="0" borderId="11" xfId="0" applyFont="1" applyBorder="1" applyAlignment="1">
      <alignment horizontal="center" vertical="top" wrapText="1"/>
    </xf>
    <xf numFmtId="0" fontId="3" fillId="0" borderId="34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14" xfId="0" applyFont="1" applyBorder="1" applyAlignment="1">
      <alignment horizontal="center" vertical="top" wrapText="1"/>
    </xf>
    <xf numFmtId="0" fontId="3" fillId="0" borderId="41" xfId="0" applyFont="1" applyBorder="1" applyAlignment="1">
      <alignment horizontal="center" vertical="top" wrapText="1"/>
    </xf>
    <xf numFmtId="0" fontId="2" fillId="0" borderId="11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center" vertical="top" wrapText="1"/>
    </xf>
    <xf numFmtId="0" fontId="2" fillId="0" borderId="41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8" fillId="4" borderId="25" xfId="0" applyFont="1" applyFill="1" applyBorder="1" applyAlignment="1">
      <alignment horizontal="center"/>
    </xf>
    <xf numFmtId="0" fontId="4" fillId="3" borderId="25" xfId="0" applyFont="1" applyFill="1" applyBorder="1"/>
    <xf numFmtId="0" fontId="4" fillId="3" borderId="26" xfId="0" applyFont="1" applyFill="1" applyBorder="1"/>
    <xf numFmtId="0" fontId="2" fillId="0" borderId="13" xfId="0" applyFont="1" applyBorder="1" applyAlignment="1">
      <alignment horizontal="center" vertical="center" wrapText="1"/>
    </xf>
    <xf numFmtId="0" fontId="2" fillId="0" borderId="7" xfId="0" applyFont="1" applyBorder="1" applyAlignment="1">
      <alignment vertical="top"/>
    </xf>
    <xf numFmtId="0" fontId="2" fillId="0" borderId="6" xfId="0" applyFont="1" applyBorder="1" applyAlignment="1">
      <alignment vertical="top"/>
    </xf>
    <xf numFmtId="0" fontId="3" fillId="0" borderId="0" xfId="0" applyFont="1" applyBorder="1"/>
    <xf numFmtId="0" fontId="8" fillId="4" borderId="15" xfId="0" applyFont="1" applyFill="1" applyBorder="1" applyAlignment="1">
      <alignment horizontal="center"/>
    </xf>
    <xf numFmtId="0" fontId="4" fillId="3" borderId="16" xfId="0" applyFont="1" applyFill="1" applyBorder="1"/>
    <xf numFmtId="0" fontId="2" fillId="0" borderId="20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17" xfId="0" applyFont="1" applyBorder="1" applyAlignment="1">
      <alignment vertical="top"/>
    </xf>
    <xf numFmtId="0" fontId="2" fillId="0" borderId="18" xfId="0" applyFont="1" applyBorder="1" applyAlignment="1">
      <alignment vertical="top"/>
    </xf>
    <xf numFmtId="0" fontId="8" fillId="4" borderId="17" xfId="0" applyFont="1" applyFill="1" applyBorder="1" applyAlignment="1">
      <alignment horizontal="center"/>
    </xf>
    <xf numFmtId="0" fontId="4" fillId="3" borderId="18" xfId="0" applyFont="1" applyFill="1" applyBorder="1"/>
    <xf numFmtId="0" fontId="3" fillId="0" borderId="22" xfId="0" applyFont="1" applyBorder="1"/>
    <xf numFmtId="0" fontId="3" fillId="0" borderId="23" xfId="0" applyFont="1" applyBorder="1"/>
    <xf numFmtId="0" fontId="5" fillId="0" borderId="35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5" fillId="0" borderId="29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top" wrapText="1"/>
    </xf>
    <xf numFmtId="0" fontId="7" fillId="0" borderId="32" xfId="0" applyFont="1" applyBorder="1" applyAlignment="1">
      <alignment horizontal="center" vertical="top" wrapText="1"/>
    </xf>
    <xf numFmtId="0" fontId="7" fillId="0" borderId="31" xfId="0" applyFont="1" applyBorder="1" applyAlignment="1">
      <alignment horizontal="center" vertical="top"/>
    </xf>
    <xf numFmtId="0" fontId="7" fillId="0" borderId="39" xfId="0" applyFont="1" applyBorder="1" applyAlignment="1">
      <alignment horizontal="center" vertical="top"/>
    </xf>
    <xf numFmtId="0" fontId="5" fillId="0" borderId="17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top" wrapText="1"/>
    </xf>
    <xf numFmtId="0" fontId="7" fillId="0" borderId="28" xfId="0" applyFont="1" applyBorder="1" applyAlignment="1">
      <alignment horizontal="center" vertical="top" wrapText="1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top"/>
    </xf>
    <xf numFmtId="0" fontId="2" fillId="0" borderId="18" xfId="0" applyFont="1" applyBorder="1" applyAlignment="1">
      <alignment horizontal="center" vertical="top"/>
    </xf>
    <xf numFmtId="0" fontId="3" fillId="0" borderId="17" xfId="0" applyFont="1" applyBorder="1"/>
    <xf numFmtId="0" fontId="3" fillId="0" borderId="18" xfId="0" applyFont="1" applyBorder="1"/>
    <xf numFmtId="0" fontId="5" fillId="0" borderId="30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top" wrapText="1"/>
    </xf>
    <xf numFmtId="0" fontId="5" fillId="0" borderId="32" xfId="0" applyFont="1" applyBorder="1" applyAlignment="1">
      <alignment horizontal="center" vertical="top" wrapText="1"/>
    </xf>
    <xf numFmtId="0" fontId="11" fillId="0" borderId="31" xfId="0" applyFont="1" applyBorder="1" applyAlignment="1">
      <alignment horizontal="center" vertical="center" wrapText="1"/>
    </xf>
    <xf numFmtId="0" fontId="11" fillId="0" borderId="32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left"/>
    </xf>
    <xf numFmtId="0" fontId="7" fillId="0" borderId="6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Burndown Sprint</a:t>
            </a:r>
            <a:r>
              <a:rPr lang="pt-BR" baseline="0"/>
              <a:t> 1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Restate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Grafico'!$B$8:$Q$8</c:f>
              <c:numCache>
                <c:formatCode>General</c:formatCode>
                <c:ptCount val="16"/>
                <c:pt idx="0">
                  <c:v>89</c:v>
                </c:pt>
                <c:pt idx="1">
                  <c:v>81</c:v>
                </c:pt>
                <c:pt idx="2">
                  <c:v>71</c:v>
                </c:pt>
                <c:pt idx="3">
                  <c:v>63</c:v>
                </c:pt>
                <c:pt idx="4">
                  <c:v>55</c:v>
                </c:pt>
                <c:pt idx="5">
                  <c:v>47</c:v>
                </c:pt>
                <c:pt idx="6">
                  <c:v>39</c:v>
                </c:pt>
                <c:pt idx="7">
                  <c:v>31</c:v>
                </c:pt>
                <c:pt idx="8">
                  <c:v>23</c:v>
                </c:pt>
                <c:pt idx="9">
                  <c:v>15</c:v>
                </c:pt>
                <c:pt idx="10">
                  <c:v>7</c:v>
                </c:pt>
                <c:pt idx="11">
                  <c:v>5</c:v>
                </c:pt>
                <c:pt idx="12">
                  <c:v>3</c:v>
                </c:pt>
                <c:pt idx="13">
                  <c:v>2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55-4B85-AA5B-3BA069761003}"/>
            </c:ext>
          </c:extLst>
        </c:ser>
        <c:ser>
          <c:idx val="1"/>
          <c:order val="1"/>
          <c:tx>
            <c:v>Estimada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Grafico'!$B$9:$Q$9</c:f>
              <c:numCache>
                <c:formatCode>0</c:formatCode>
                <c:ptCount val="16"/>
                <c:pt idx="0" formatCode="General">
                  <c:v>72</c:v>
                </c:pt>
                <c:pt idx="1">
                  <c:v>67.2</c:v>
                </c:pt>
                <c:pt idx="2">
                  <c:v>62.400000000000006</c:v>
                </c:pt>
                <c:pt idx="3">
                  <c:v>57.600000000000009</c:v>
                </c:pt>
                <c:pt idx="4">
                  <c:v>52.800000000000011</c:v>
                </c:pt>
                <c:pt idx="5">
                  <c:v>48.000000000000014</c:v>
                </c:pt>
                <c:pt idx="6">
                  <c:v>43.200000000000017</c:v>
                </c:pt>
                <c:pt idx="7">
                  <c:v>38.40000000000002</c:v>
                </c:pt>
                <c:pt idx="8">
                  <c:v>33.600000000000023</c:v>
                </c:pt>
                <c:pt idx="9">
                  <c:v>28.800000000000022</c:v>
                </c:pt>
                <c:pt idx="10">
                  <c:v>24.000000000000021</c:v>
                </c:pt>
                <c:pt idx="11">
                  <c:v>19.200000000000021</c:v>
                </c:pt>
                <c:pt idx="12">
                  <c:v>14.40000000000002</c:v>
                </c:pt>
                <c:pt idx="13">
                  <c:v>9.6000000000000192</c:v>
                </c:pt>
                <c:pt idx="14">
                  <c:v>4.8000000000000194</c:v>
                </c:pt>
                <c:pt idx="15">
                  <c:v>1.9539925233402755E-14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55-4B85-AA5B-3BA06976100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4368"/>
        <c:axId val="1690327280"/>
      </c:lineChart>
      <c:catAx>
        <c:axId val="1690324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280"/>
        <c:crosses val="autoZero"/>
        <c:auto val="1"/>
        <c:lblAlgn val="ctr"/>
        <c:lblOffset val="100"/>
        <c:noMultiLvlLbl val="0"/>
      </c:catAx>
      <c:valAx>
        <c:axId val="169032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Burndown Sprint</a:t>
            </a:r>
            <a:r>
              <a:rPr lang="pt-BR" baseline="0"/>
              <a:t> 2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Grafico'!$B$17:$I$17</c:f>
              <c:numCache>
                <c:formatCode>General</c:formatCode>
                <c:ptCount val="8"/>
                <c:pt idx="0">
                  <c:v>31</c:v>
                </c:pt>
                <c:pt idx="1">
                  <c:v>29</c:v>
                </c:pt>
                <c:pt idx="2">
                  <c:v>28</c:v>
                </c:pt>
                <c:pt idx="3">
                  <c:v>24</c:v>
                </c:pt>
                <c:pt idx="4">
                  <c:v>20</c:v>
                </c:pt>
                <c:pt idx="5">
                  <c:v>13</c:v>
                </c:pt>
                <c:pt idx="6">
                  <c:v>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36-B345-87E7-2D12EFC168DB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Grafico'!$B$18:$I$18</c:f>
              <c:numCache>
                <c:formatCode>0</c:formatCode>
                <c:ptCount val="8"/>
                <c:pt idx="0" formatCode="General">
                  <c:v>40</c:v>
                </c:pt>
                <c:pt idx="1">
                  <c:v>35.571428571428569</c:v>
                </c:pt>
                <c:pt idx="2">
                  <c:v>31.142857142857139</c:v>
                </c:pt>
                <c:pt idx="3">
                  <c:v>26.714285714285708</c:v>
                </c:pt>
                <c:pt idx="4">
                  <c:v>22.285714285714278</c:v>
                </c:pt>
                <c:pt idx="5">
                  <c:v>17.857142857142847</c:v>
                </c:pt>
                <c:pt idx="6">
                  <c:v>13.428571428571418</c:v>
                </c:pt>
                <c:pt idx="7">
                  <c:v>8.9999999999999893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6-B345-87E7-2D12EFC168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4368"/>
        <c:axId val="1690327280"/>
      </c:lineChart>
      <c:catAx>
        <c:axId val="1690324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280"/>
        <c:crosses val="autoZero"/>
        <c:auto val="1"/>
        <c:lblAlgn val="ctr"/>
        <c:lblOffset val="100"/>
        <c:noMultiLvlLbl val="0"/>
      </c:catAx>
      <c:valAx>
        <c:axId val="1690327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63500</xdr:colOff>
      <xdr:row>24</xdr:row>
      <xdr:rowOff>88900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584200</xdr:colOff>
      <xdr:row>0</xdr:row>
      <xdr:rowOff>0</xdr:rowOff>
    </xdr:from>
    <xdr:to>
      <xdr:col>25</xdr:col>
      <xdr:colOff>647700</xdr:colOff>
      <xdr:row>24</xdr:row>
      <xdr:rowOff>88900</xdr:rowOff>
    </xdr:to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96F3842A-AA1C-8D46-80F5-9C1DD57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39"/>
  <sheetViews>
    <sheetView workbookViewId="0">
      <selection activeCell="F9" sqref="F9"/>
    </sheetView>
  </sheetViews>
  <sheetFormatPr defaultColWidth="14.42578125" defaultRowHeight="15" x14ac:dyDescent="0.25"/>
  <cols>
    <col min="1" max="1" width="11.7109375" style="1" customWidth="1"/>
    <col min="2" max="2" width="81.7109375" style="1" customWidth="1"/>
    <col min="3" max="3" width="21.28515625" style="1" customWidth="1"/>
    <col min="4" max="4" width="14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57" t="s">
        <v>5</v>
      </c>
      <c r="B1" s="58"/>
      <c r="C1" s="58"/>
      <c r="D1" s="59"/>
      <c r="E1" s="60"/>
    </row>
    <row r="2" spans="1:27" x14ac:dyDescent="0.25">
      <c r="A2" s="61"/>
      <c r="B2" s="61"/>
      <c r="C2" s="61"/>
      <c r="D2" s="62"/>
      <c r="E2" s="60"/>
    </row>
    <row r="3" spans="1:27" ht="15.75" x14ac:dyDescent="0.25">
      <c r="A3" s="63"/>
      <c r="B3" s="64"/>
      <c r="C3" s="64"/>
      <c r="D3" s="65"/>
      <c r="E3" s="60"/>
    </row>
    <row r="4" spans="1:27" x14ac:dyDescent="0.25">
      <c r="A4" s="61"/>
      <c r="B4" s="61"/>
      <c r="C4" s="61"/>
      <c r="D4" s="66"/>
      <c r="E4" s="60"/>
    </row>
    <row r="5" spans="1:27" s="15" customFormat="1" ht="15.75" x14ac:dyDescent="0.25">
      <c r="A5" s="10" t="s">
        <v>1</v>
      </c>
      <c r="B5" s="11" t="s">
        <v>3</v>
      </c>
      <c r="C5" s="12" t="s">
        <v>4</v>
      </c>
      <c r="D5" s="13" t="s">
        <v>6</v>
      </c>
      <c r="E5" s="60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</row>
    <row r="6" spans="1:27" ht="15.75" x14ac:dyDescent="0.25">
      <c r="A6" s="3">
        <v>1</v>
      </c>
      <c r="B6" s="179" t="s">
        <v>64</v>
      </c>
      <c r="C6" s="4">
        <v>10</v>
      </c>
      <c r="D6" s="4" t="s">
        <v>47</v>
      </c>
      <c r="E6" s="60"/>
    </row>
    <row r="7" spans="1:27" ht="15.75" x14ac:dyDescent="0.25">
      <c r="A7" s="5">
        <v>2</v>
      </c>
      <c r="B7" s="179" t="s">
        <v>62</v>
      </c>
      <c r="C7" s="4">
        <v>10</v>
      </c>
      <c r="D7" s="4" t="s">
        <v>46</v>
      </c>
      <c r="E7" s="60"/>
    </row>
    <row r="8" spans="1:27" ht="15.75" x14ac:dyDescent="0.25">
      <c r="A8" s="5">
        <v>3</v>
      </c>
      <c r="B8" s="179" t="s">
        <v>65</v>
      </c>
      <c r="C8" s="4">
        <v>10</v>
      </c>
      <c r="D8" s="6" t="s">
        <v>63</v>
      </c>
      <c r="E8" s="60"/>
    </row>
    <row r="9" spans="1:27" ht="17.100000000000001" customHeight="1" x14ac:dyDescent="0.25">
      <c r="A9" s="5">
        <v>4</v>
      </c>
      <c r="B9" s="179" t="s">
        <v>102</v>
      </c>
      <c r="C9" s="4">
        <v>8</v>
      </c>
      <c r="D9" s="4" t="s">
        <v>46</v>
      </c>
      <c r="E9" s="60"/>
      <c r="F9" s="8"/>
    </row>
    <row r="10" spans="1:27" ht="15.75" x14ac:dyDescent="0.25">
      <c r="A10" s="5">
        <v>5</v>
      </c>
      <c r="B10" s="179" t="s">
        <v>66</v>
      </c>
      <c r="C10" s="4">
        <v>9</v>
      </c>
      <c r="D10" s="4" t="s">
        <v>46</v>
      </c>
      <c r="E10" s="60"/>
    </row>
    <row r="11" spans="1:27" ht="15.75" x14ac:dyDescent="0.25">
      <c r="A11" s="5">
        <v>6</v>
      </c>
      <c r="B11" s="179" t="s">
        <v>119</v>
      </c>
      <c r="C11" s="4">
        <v>9</v>
      </c>
      <c r="D11" s="4" t="s">
        <v>46</v>
      </c>
      <c r="E11" s="60"/>
    </row>
    <row r="12" spans="1:27" ht="15.75" x14ac:dyDescent="0.25">
      <c r="A12" s="5">
        <v>7</v>
      </c>
      <c r="B12" s="180" t="s">
        <v>67</v>
      </c>
      <c r="C12" s="4">
        <v>10</v>
      </c>
      <c r="D12" s="4" t="s">
        <v>46</v>
      </c>
      <c r="E12" s="60"/>
    </row>
    <row r="13" spans="1:27" ht="15.75" x14ac:dyDescent="0.25">
      <c r="A13" s="5">
        <v>8</v>
      </c>
      <c r="B13" s="180" t="s">
        <v>68</v>
      </c>
      <c r="C13" s="4">
        <v>10</v>
      </c>
      <c r="D13" s="4" t="s">
        <v>73</v>
      </c>
      <c r="E13" s="60"/>
    </row>
    <row r="14" spans="1:27" s="2" customFormat="1" ht="15.75" x14ac:dyDescent="0.25">
      <c r="A14" s="5">
        <v>9</v>
      </c>
      <c r="B14" s="180" t="s">
        <v>69</v>
      </c>
      <c r="C14" s="4">
        <v>8</v>
      </c>
      <c r="D14" s="4" t="s">
        <v>63</v>
      </c>
    </row>
    <row r="15" spans="1:27" s="2" customFormat="1" ht="15.75" x14ac:dyDescent="0.25">
      <c r="A15" s="5">
        <v>10</v>
      </c>
      <c r="B15" s="180" t="s">
        <v>70</v>
      </c>
      <c r="C15" s="4">
        <v>7</v>
      </c>
      <c r="D15" s="4" t="s">
        <v>46</v>
      </c>
    </row>
    <row r="16" spans="1:27" s="2" customFormat="1" ht="15.75" x14ac:dyDescent="0.25">
      <c r="A16" s="5">
        <v>11</v>
      </c>
      <c r="B16" s="180" t="s">
        <v>72</v>
      </c>
      <c r="C16" s="4">
        <v>10</v>
      </c>
      <c r="D16" s="4" t="s">
        <v>63</v>
      </c>
    </row>
    <row r="17" s="2" customFormat="1" x14ac:dyDescent="0.25"/>
    <row r="18" s="2" customFormat="1" x14ac:dyDescent="0.25"/>
    <row r="19" s="2" customFormat="1" x14ac:dyDescent="0.25"/>
    <row r="20" s="2" customFormat="1" x14ac:dyDescent="0.25"/>
    <row r="21" s="2" customFormat="1" x14ac:dyDescent="0.25"/>
    <row r="22" s="2" customFormat="1" x14ac:dyDescent="0.25"/>
    <row r="23" s="2" customFormat="1" x14ac:dyDescent="0.25"/>
    <row r="24" s="2" customFormat="1" x14ac:dyDescent="0.25"/>
    <row r="25" s="2" customFormat="1" x14ac:dyDescent="0.25"/>
    <row r="26" s="2" customFormat="1" x14ac:dyDescent="0.25"/>
    <row r="27" s="2" customFormat="1" x14ac:dyDescent="0.25"/>
    <row r="28" s="2" customFormat="1" x14ac:dyDescent="0.25"/>
    <row r="29" s="2" customFormat="1" x14ac:dyDescent="0.25"/>
    <row r="30" s="2" customFormat="1" x14ac:dyDescent="0.25"/>
    <row r="31" s="2" customFormat="1" x14ac:dyDescent="0.25"/>
    <row r="3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</sheetData>
  <mergeCells count="5">
    <mergeCell ref="A1:D1"/>
    <mergeCell ref="E1:E13"/>
    <mergeCell ref="A2:D2"/>
    <mergeCell ref="A3:D3"/>
    <mergeCell ref="A4:D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269"/>
  <sheetViews>
    <sheetView workbookViewId="0">
      <selection activeCell="D6" sqref="D6"/>
    </sheetView>
  </sheetViews>
  <sheetFormatPr defaultColWidth="8.85546875" defaultRowHeight="15" x14ac:dyDescent="0.25"/>
  <cols>
    <col min="1" max="1" width="9.140625" style="9"/>
    <col min="2" max="3" width="11.42578125" style="19" customWidth="1"/>
    <col min="4" max="5" width="11.42578125" customWidth="1"/>
    <col min="6" max="38" width="9.140625" style="9"/>
  </cols>
  <sheetData>
    <row r="1" spans="2:9" x14ac:dyDescent="0.25">
      <c r="B1" s="69" t="s">
        <v>2</v>
      </c>
      <c r="C1" s="61"/>
      <c r="D1" s="61"/>
      <c r="E1" s="61"/>
      <c r="F1" s="61"/>
    </row>
    <row r="2" spans="2:9" x14ac:dyDescent="0.25">
      <c r="B2" s="47" t="s">
        <v>0</v>
      </c>
      <c r="C2" s="42" t="s">
        <v>1</v>
      </c>
      <c r="D2" s="45" t="s">
        <v>56</v>
      </c>
      <c r="E2" s="46" t="s">
        <v>57</v>
      </c>
      <c r="F2" s="42" t="s">
        <v>48</v>
      </c>
      <c r="H2" s="40" t="s">
        <v>54</v>
      </c>
      <c r="I2" s="40" t="s">
        <v>55</v>
      </c>
    </row>
    <row r="3" spans="2:9" x14ac:dyDescent="0.25">
      <c r="B3" s="70">
        <v>1</v>
      </c>
      <c r="C3" s="67">
        <v>1</v>
      </c>
      <c r="D3" s="50" t="s">
        <v>47</v>
      </c>
      <c r="E3" s="50" t="s">
        <v>47</v>
      </c>
      <c r="F3" s="51" t="s">
        <v>46</v>
      </c>
      <c r="H3" s="41" t="s">
        <v>49</v>
      </c>
      <c r="I3" s="41">
        <v>1</v>
      </c>
    </row>
    <row r="4" spans="2:9" x14ac:dyDescent="0.25">
      <c r="B4" s="71"/>
      <c r="C4" s="68"/>
      <c r="D4" s="52"/>
      <c r="E4" s="52"/>
      <c r="F4" s="53"/>
      <c r="H4" s="41" t="s">
        <v>50</v>
      </c>
      <c r="I4" s="41">
        <v>2</v>
      </c>
    </row>
    <row r="5" spans="2:9" x14ac:dyDescent="0.25">
      <c r="B5" s="72"/>
      <c r="C5" s="44">
        <v>2</v>
      </c>
      <c r="D5" s="44" t="s">
        <v>63</v>
      </c>
      <c r="E5" s="44" t="s">
        <v>63</v>
      </c>
      <c r="F5" s="54" t="s">
        <v>63</v>
      </c>
      <c r="H5" s="41" t="s">
        <v>51</v>
      </c>
      <c r="I5" s="41">
        <v>3</v>
      </c>
    </row>
    <row r="6" spans="2:9" x14ac:dyDescent="0.25">
      <c r="B6" s="18"/>
      <c r="C6" s="18"/>
      <c r="D6" s="9"/>
      <c r="E6" s="9"/>
      <c r="F6" s="43"/>
      <c r="H6" s="41" t="s">
        <v>53</v>
      </c>
      <c r="I6" s="41">
        <v>5</v>
      </c>
    </row>
    <row r="7" spans="2:9" x14ac:dyDescent="0.25">
      <c r="B7" s="18"/>
      <c r="C7" s="18"/>
      <c r="D7" s="9"/>
      <c r="E7" s="9"/>
      <c r="H7" s="41" t="s">
        <v>52</v>
      </c>
      <c r="I7" s="41">
        <v>8</v>
      </c>
    </row>
    <row r="8" spans="2:9" x14ac:dyDescent="0.25">
      <c r="B8" s="18"/>
      <c r="C8" s="18"/>
      <c r="D8" s="9"/>
      <c r="E8" s="9"/>
    </row>
    <row r="9" spans="2:9" x14ac:dyDescent="0.25">
      <c r="B9" s="18"/>
      <c r="C9" s="18"/>
      <c r="D9" s="9"/>
      <c r="E9" s="9"/>
    </row>
    <row r="10" spans="2:9" s="9" customFormat="1" x14ac:dyDescent="0.25">
      <c r="B10" s="18"/>
      <c r="C10" s="18"/>
    </row>
    <row r="11" spans="2:9" s="9" customFormat="1" x14ac:dyDescent="0.25">
      <c r="B11" s="18"/>
      <c r="C11" s="18"/>
    </row>
    <row r="12" spans="2:9" s="9" customFormat="1" x14ac:dyDescent="0.25">
      <c r="B12" s="18"/>
      <c r="C12" s="18"/>
    </row>
    <row r="13" spans="2:9" s="9" customFormat="1" x14ac:dyDescent="0.25">
      <c r="B13" s="18"/>
      <c r="C13" s="18"/>
    </row>
    <row r="14" spans="2:9" s="9" customFormat="1" x14ac:dyDescent="0.25">
      <c r="B14" s="18"/>
      <c r="C14" s="18"/>
    </row>
    <row r="15" spans="2:9" s="9" customFormat="1" x14ac:dyDescent="0.25">
      <c r="B15" s="18"/>
      <c r="C15" s="18"/>
    </row>
    <row r="16" spans="2:9" s="9" customFormat="1" x14ac:dyDescent="0.25">
      <c r="B16" s="18"/>
      <c r="C16" s="18"/>
    </row>
    <row r="17" spans="2:3" s="9" customFormat="1" x14ac:dyDescent="0.25">
      <c r="B17" s="18"/>
      <c r="C17" s="18"/>
    </row>
    <row r="18" spans="2:3" s="9" customFormat="1" x14ac:dyDescent="0.25">
      <c r="B18" s="18"/>
      <c r="C18" s="18"/>
    </row>
    <row r="19" spans="2:3" s="9" customFormat="1" x14ac:dyDescent="0.25">
      <c r="B19" s="18"/>
      <c r="C19" s="18"/>
    </row>
    <row r="20" spans="2:3" s="9" customFormat="1" x14ac:dyDescent="0.25">
      <c r="B20" s="18"/>
      <c r="C20" s="18"/>
    </row>
    <row r="21" spans="2:3" s="9" customFormat="1" x14ac:dyDescent="0.25">
      <c r="B21" s="18"/>
      <c r="C21" s="18"/>
    </row>
    <row r="22" spans="2:3" s="9" customFormat="1" x14ac:dyDescent="0.25">
      <c r="B22" s="18"/>
      <c r="C22" s="18"/>
    </row>
    <row r="23" spans="2:3" s="9" customFormat="1" x14ac:dyDescent="0.25">
      <c r="B23" s="18"/>
      <c r="C23" s="18"/>
    </row>
    <row r="24" spans="2:3" s="9" customFormat="1" x14ac:dyDescent="0.25">
      <c r="B24" s="18"/>
      <c r="C24" s="18"/>
    </row>
    <row r="25" spans="2:3" s="9" customFormat="1" x14ac:dyDescent="0.25">
      <c r="B25" s="18"/>
      <c r="C25" s="18"/>
    </row>
    <row r="26" spans="2:3" s="9" customFormat="1" x14ac:dyDescent="0.25">
      <c r="B26" s="18"/>
      <c r="C26" s="18"/>
    </row>
    <row r="27" spans="2:3" s="9" customFormat="1" x14ac:dyDescent="0.25">
      <c r="B27" s="18"/>
      <c r="C27" s="18"/>
    </row>
    <row r="28" spans="2:3" s="9" customFormat="1" x14ac:dyDescent="0.25">
      <c r="B28" s="18"/>
      <c r="C28" s="18"/>
    </row>
    <row r="29" spans="2:3" s="9" customFormat="1" x14ac:dyDescent="0.25">
      <c r="B29" s="18"/>
      <c r="C29" s="18"/>
    </row>
    <row r="30" spans="2:3" s="9" customFormat="1" x14ac:dyDescent="0.25">
      <c r="B30" s="18"/>
      <c r="C30" s="18"/>
    </row>
    <row r="31" spans="2:3" s="9" customFormat="1" x14ac:dyDescent="0.25">
      <c r="B31" s="18"/>
      <c r="C31" s="18"/>
    </row>
    <row r="32" spans="2:3" s="9" customFormat="1" x14ac:dyDescent="0.25">
      <c r="B32" s="18"/>
      <c r="C32" s="18"/>
    </row>
    <row r="33" spans="2:3" s="9" customFormat="1" x14ac:dyDescent="0.25">
      <c r="B33" s="18"/>
      <c r="C33" s="18"/>
    </row>
    <row r="34" spans="2:3" s="9" customFormat="1" x14ac:dyDescent="0.25">
      <c r="B34" s="18"/>
      <c r="C34" s="18"/>
    </row>
    <row r="35" spans="2:3" s="9" customFormat="1" x14ac:dyDescent="0.25">
      <c r="B35" s="18"/>
      <c r="C35" s="18"/>
    </row>
    <row r="36" spans="2:3" s="9" customFormat="1" x14ac:dyDescent="0.25">
      <c r="B36" s="18"/>
      <c r="C36" s="18"/>
    </row>
    <row r="37" spans="2:3" s="9" customFormat="1" x14ac:dyDescent="0.25">
      <c r="B37" s="18"/>
      <c r="C37" s="18"/>
    </row>
    <row r="38" spans="2:3" s="9" customFormat="1" x14ac:dyDescent="0.25">
      <c r="B38" s="18"/>
      <c r="C38" s="18"/>
    </row>
    <row r="39" spans="2:3" s="9" customFormat="1" x14ac:dyDescent="0.25">
      <c r="B39" s="18"/>
      <c r="C39" s="18"/>
    </row>
    <row r="40" spans="2:3" s="9" customFormat="1" x14ac:dyDescent="0.25">
      <c r="B40" s="18"/>
      <c r="C40" s="18"/>
    </row>
    <row r="41" spans="2:3" s="9" customFormat="1" x14ac:dyDescent="0.25">
      <c r="B41" s="18"/>
      <c r="C41" s="18"/>
    </row>
    <row r="42" spans="2:3" s="9" customFormat="1" x14ac:dyDescent="0.25">
      <c r="B42" s="18"/>
      <c r="C42" s="18"/>
    </row>
    <row r="43" spans="2:3" s="9" customFormat="1" x14ac:dyDescent="0.25">
      <c r="B43" s="18"/>
      <c r="C43" s="18"/>
    </row>
    <row r="44" spans="2:3" s="9" customFormat="1" x14ac:dyDescent="0.25">
      <c r="B44" s="18"/>
      <c r="C44" s="18"/>
    </row>
    <row r="45" spans="2:3" s="9" customFormat="1" x14ac:dyDescent="0.25">
      <c r="B45" s="18"/>
      <c r="C45" s="18"/>
    </row>
    <row r="46" spans="2:3" s="9" customFormat="1" x14ac:dyDescent="0.25">
      <c r="B46" s="18"/>
      <c r="C46" s="18"/>
    </row>
    <row r="47" spans="2:3" s="9" customFormat="1" x14ac:dyDescent="0.25">
      <c r="B47" s="18"/>
      <c r="C47" s="18"/>
    </row>
    <row r="48" spans="2:3" s="9" customFormat="1" x14ac:dyDescent="0.25">
      <c r="B48" s="18"/>
      <c r="C48" s="18"/>
    </row>
    <row r="49" spans="2:3" s="9" customFormat="1" x14ac:dyDescent="0.25">
      <c r="B49" s="18"/>
      <c r="C49" s="18"/>
    </row>
    <row r="50" spans="2:3" s="9" customFormat="1" x14ac:dyDescent="0.25">
      <c r="B50" s="18"/>
      <c r="C50" s="18"/>
    </row>
    <row r="51" spans="2:3" s="9" customFormat="1" x14ac:dyDescent="0.25">
      <c r="B51" s="18"/>
      <c r="C51" s="18"/>
    </row>
    <row r="52" spans="2:3" s="9" customFormat="1" x14ac:dyDescent="0.25">
      <c r="B52" s="18"/>
      <c r="C52" s="18"/>
    </row>
    <row r="53" spans="2:3" s="9" customFormat="1" x14ac:dyDescent="0.25">
      <c r="B53" s="18"/>
      <c r="C53" s="18"/>
    </row>
    <row r="54" spans="2:3" s="9" customFormat="1" x14ac:dyDescent="0.25">
      <c r="B54" s="18"/>
      <c r="C54" s="18"/>
    </row>
    <row r="55" spans="2:3" s="9" customFormat="1" x14ac:dyDescent="0.25">
      <c r="B55" s="18"/>
      <c r="C55" s="18"/>
    </row>
    <row r="56" spans="2:3" s="9" customFormat="1" x14ac:dyDescent="0.25">
      <c r="B56" s="18"/>
      <c r="C56" s="18"/>
    </row>
    <row r="57" spans="2:3" s="9" customFormat="1" x14ac:dyDescent="0.25">
      <c r="B57" s="18"/>
      <c r="C57" s="18"/>
    </row>
    <row r="58" spans="2:3" s="9" customFormat="1" x14ac:dyDescent="0.25">
      <c r="B58" s="18"/>
      <c r="C58" s="18"/>
    </row>
    <row r="59" spans="2:3" s="9" customFormat="1" x14ac:dyDescent="0.25">
      <c r="B59" s="18"/>
      <c r="C59" s="18"/>
    </row>
    <row r="60" spans="2:3" s="9" customFormat="1" x14ac:dyDescent="0.25">
      <c r="B60" s="18"/>
      <c r="C60" s="18"/>
    </row>
    <row r="61" spans="2:3" s="9" customFormat="1" x14ac:dyDescent="0.25">
      <c r="B61" s="18"/>
      <c r="C61" s="18"/>
    </row>
    <row r="62" spans="2:3" s="9" customFormat="1" x14ac:dyDescent="0.25">
      <c r="B62" s="18"/>
      <c r="C62" s="18"/>
    </row>
    <row r="63" spans="2:3" s="9" customFormat="1" x14ac:dyDescent="0.25">
      <c r="B63" s="18"/>
      <c r="C63" s="18"/>
    </row>
    <row r="64" spans="2:3" s="9" customFormat="1" x14ac:dyDescent="0.25">
      <c r="B64" s="18"/>
      <c r="C64" s="18"/>
    </row>
    <row r="65" spans="2:3" s="9" customFormat="1" x14ac:dyDescent="0.25">
      <c r="B65" s="18"/>
      <c r="C65" s="18"/>
    </row>
    <row r="66" spans="2:3" s="9" customFormat="1" x14ac:dyDescent="0.25">
      <c r="B66" s="18"/>
      <c r="C66" s="18"/>
    </row>
    <row r="67" spans="2:3" s="9" customFormat="1" x14ac:dyDescent="0.25">
      <c r="B67" s="18"/>
      <c r="C67" s="18"/>
    </row>
    <row r="68" spans="2:3" s="9" customFormat="1" x14ac:dyDescent="0.25">
      <c r="B68" s="18"/>
      <c r="C68" s="18"/>
    </row>
    <row r="69" spans="2:3" s="9" customFormat="1" x14ac:dyDescent="0.25">
      <c r="B69" s="18"/>
      <c r="C69" s="18"/>
    </row>
    <row r="70" spans="2:3" s="9" customFormat="1" x14ac:dyDescent="0.25">
      <c r="B70" s="18"/>
      <c r="C70" s="18"/>
    </row>
    <row r="71" spans="2:3" s="9" customFormat="1" x14ac:dyDescent="0.25">
      <c r="B71" s="18"/>
      <c r="C71" s="18"/>
    </row>
    <row r="72" spans="2:3" s="9" customFormat="1" x14ac:dyDescent="0.25">
      <c r="B72" s="18"/>
      <c r="C72" s="18"/>
    </row>
    <row r="73" spans="2:3" s="9" customFormat="1" x14ac:dyDescent="0.25">
      <c r="B73" s="18"/>
      <c r="C73" s="18"/>
    </row>
    <row r="74" spans="2:3" s="9" customFormat="1" x14ac:dyDescent="0.25">
      <c r="B74" s="18"/>
      <c r="C74" s="18"/>
    </row>
    <row r="75" spans="2:3" s="9" customFormat="1" x14ac:dyDescent="0.25">
      <c r="B75" s="18"/>
      <c r="C75" s="18"/>
    </row>
    <row r="76" spans="2:3" s="9" customFormat="1" x14ac:dyDescent="0.25">
      <c r="B76" s="18"/>
      <c r="C76" s="18"/>
    </row>
    <row r="77" spans="2:3" s="9" customFormat="1" x14ac:dyDescent="0.25">
      <c r="B77" s="18"/>
      <c r="C77" s="18"/>
    </row>
    <row r="78" spans="2:3" s="9" customFormat="1" x14ac:dyDescent="0.25">
      <c r="B78" s="18"/>
      <c r="C78" s="18"/>
    </row>
    <row r="79" spans="2:3" s="9" customFormat="1" x14ac:dyDescent="0.25">
      <c r="B79" s="18"/>
      <c r="C79" s="18"/>
    </row>
    <row r="80" spans="2:3" s="9" customFormat="1" x14ac:dyDescent="0.25">
      <c r="B80" s="18"/>
      <c r="C80" s="18"/>
    </row>
    <row r="81" spans="2:3" s="9" customFormat="1" x14ac:dyDescent="0.25">
      <c r="B81" s="18"/>
      <c r="C81" s="18"/>
    </row>
    <row r="82" spans="2:3" s="9" customFormat="1" x14ac:dyDescent="0.25">
      <c r="B82" s="18"/>
      <c r="C82" s="18"/>
    </row>
    <row r="83" spans="2:3" s="9" customFormat="1" x14ac:dyDescent="0.25">
      <c r="B83" s="18"/>
      <c r="C83" s="18"/>
    </row>
    <row r="84" spans="2:3" s="9" customFormat="1" x14ac:dyDescent="0.25">
      <c r="B84" s="18"/>
      <c r="C84" s="18"/>
    </row>
    <row r="85" spans="2:3" s="9" customFormat="1" x14ac:dyDescent="0.25">
      <c r="B85" s="18"/>
      <c r="C85" s="18"/>
    </row>
    <row r="86" spans="2:3" s="9" customFormat="1" x14ac:dyDescent="0.25">
      <c r="B86" s="18"/>
      <c r="C86" s="18"/>
    </row>
    <row r="87" spans="2:3" s="9" customFormat="1" x14ac:dyDescent="0.25">
      <c r="B87" s="18"/>
      <c r="C87" s="18"/>
    </row>
    <row r="88" spans="2:3" s="9" customFormat="1" x14ac:dyDescent="0.25">
      <c r="B88" s="18"/>
      <c r="C88" s="18"/>
    </row>
    <row r="89" spans="2:3" s="9" customFormat="1" x14ac:dyDescent="0.25">
      <c r="B89" s="18"/>
      <c r="C89" s="18"/>
    </row>
    <row r="90" spans="2:3" s="9" customFormat="1" x14ac:dyDescent="0.25">
      <c r="B90" s="18"/>
      <c r="C90" s="18"/>
    </row>
    <row r="91" spans="2:3" s="9" customFormat="1" x14ac:dyDescent="0.25">
      <c r="B91" s="18"/>
      <c r="C91" s="18"/>
    </row>
    <row r="92" spans="2:3" s="9" customFormat="1" x14ac:dyDescent="0.25">
      <c r="B92" s="18"/>
      <c r="C92" s="18"/>
    </row>
    <row r="93" spans="2:3" s="9" customFormat="1" x14ac:dyDescent="0.25">
      <c r="B93" s="18"/>
      <c r="C93" s="18"/>
    </row>
    <row r="94" spans="2:3" s="9" customFormat="1" x14ac:dyDescent="0.25">
      <c r="B94" s="18"/>
      <c r="C94" s="18"/>
    </row>
    <row r="95" spans="2:3" s="9" customFormat="1" x14ac:dyDescent="0.25">
      <c r="B95" s="18"/>
      <c r="C95" s="18"/>
    </row>
    <row r="96" spans="2:3" s="9" customFormat="1" x14ac:dyDescent="0.25">
      <c r="B96" s="18"/>
      <c r="C96" s="18"/>
    </row>
    <row r="97" spans="2:3" s="9" customFormat="1" x14ac:dyDescent="0.25">
      <c r="B97" s="18"/>
      <c r="C97" s="18"/>
    </row>
    <row r="98" spans="2:3" s="9" customFormat="1" x14ac:dyDescent="0.25">
      <c r="B98" s="18"/>
      <c r="C98" s="18"/>
    </row>
    <row r="99" spans="2:3" s="9" customFormat="1" x14ac:dyDescent="0.25">
      <c r="B99" s="18"/>
      <c r="C99" s="18"/>
    </row>
    <row r="100" spans="2:3" s="9" customFormat="1" x14ac:dyDescent="0.25">
      <c r="B100" s="18"/>
      <c r="C100" s="18"/>
    </row>
    <row r="101" spans="2:3" s="9" customFormat="1" x14ac:dyDescent="0.25">
      <c r="B101" s="18"/>
      <c r="C101" s="18"/>
    </row>
    <row r="102" spans="2:3" s="9" customFormat="1" x14ac:dyDescent="0.25">
      <c r="B102" s="18"/>
      <c r="C102" s="18"/>
    </row>
    <row r="103" spans="2:3" s="9" customFormat="1" x14ac:dyDescent="0.25">
      <c r="B103" s="18"/>
      <c r="C103" s="18"/>
    </row>
    <row r="104" spans="2:3" s="9" customFormat="1" x14ac:dyDescent="0.25">
      <c r="B104" s="18"/>
      <c r="C104" s="18"/>
    </row>
    <row r="105" spans="2:3" s="9" customFormat="1" x14ac:dyDescent="0.25">
      <c r="B105" s="18"/>
      <c r="C105" s="18"/>
    </row>
    <row r="106" spans="2:3" s="9" customFormat="1" x14ac:dyDescent="0.25">
      <c r="B106" s="18"/>
      <c r="C106" s="18"/>
    </row>
    <row r="107" spans="2:3" s="9" customFormat="1" x14ac:dyDescent="0.25">
      <c r="B107" s="18"/>
      <c r="C107" s="18"/>
    </row>
    <row r="108" spans="2:3" s="9" customFormat="1" x14ac:dyDescent="0.25">
      <c r="B108" s="18"/>
      <c r="C108" s="18"/>
    </row>
    <row r="109" spans="2:3" s="9" customFormat="1" x14ac:dyDescent="0.25">
      <c r="B109" s="18"/>
      <c r="C109" s="18"/>
    </row>
    <row r="110" spans="2:3" s="9" customFormat="1" x14ac:dyDescent="0.25">
      <c r="B110" s="18"/>
      <c r="C110" s="18"/>
    </row>
    <row r="111" spans="2:3" s="9" customFormat="1" x14ac:dyDescent="0.25">
      <c r="B111" s="18"/>
      <c r="C111" s="18"/>
    </row>
    <row r="112" spans="2:3" s="9" customFormat="1" x14ac:dyDescent="0.25">
      <c r="B112" s="18"/>
      <c r="C112" s="18"/>
    </row>
    <row r="113" spans="2:3" s="9" customFormat="1" x14ac:dyDescent="0.25">
      <c r="B113" s="18"/>
      <c r="C113" s="18"/>
    </row>
    <row r="114" spans="2:3" s="9" customFormat="1" x14ac:dyDescent="0.25">
      <c r="B114" s="18"/>
      <c r="C114" s="18"/>
    </row>
    <row r="115" spans="2:3" s="9" customFormat="1" x14ac:dyDescent="0.25">
      <c r="B115" s="18"/>
      <c r="C115" s="18"/>
    </row>
    <row r="116" spans="2:3" s="9" customFormat="1" x14ac:dyDescent="0.25">
      <c r="B116" s="18"/>
      <c r="C116" s="18"/>
    </row>
    <row r="117" spans="2:3" s="9" customFormat="1" x14ac:dyDescent="0.25">
      <c r="B117" s="18"/>
      <c r="C117" s="18"/>
    </row>
    <row r="118" spans="2:3" s="9" customFormat="1" x14ac:dyDescent="0.25">
      <c r="B118" s="18"/>
      <c r="C118" s="18"/>
    </row>
    <row r="119" spans="2:3" s="9" customFormat="1" x14ac:dyDescent="0.25">
      <c r="B119" s="18"/>
      <c r="C119" s="18"/>
    </row>
    <row r="120" spans="2:3" s="9" customFormat="1" x14ac:dyDescent="0.25">
      <c r="B120" s="18"/>
      <c r="C120" s="18"/>
    </row>
    <row r="121" spans="2:3" s="9" customFormat="1" x14ac:dyDescent="0.25">
      <c r="B121" s="18"/>
      <c r="C121" s="18"/>
    </row>
    <row r="122" spans="2:3" s="9" customFormat="1" x14ac:dyDescent="0.25">
      <c r="B122" s="18"/>
      <c r="C122" s="18"/>
    </row>
    <row r="123" spans="2:3" s="9" customFormat="1" x14ac:dyDescent="0.25">
      <c r="B123" s="18"/>
      <c r="C123" s="18"/>
    </row>
    <row r="124" spans="2:3" s="9" customFormat="1" x14ac:dyDescent="0.25">
      <c r="B124" s="18"/>
      <c r="C124" s="18"/>
    </row>
    <row r="125" spans="2:3" s="9" customFormat="1" x14ac:dyDescent="0.25">
      <c r="B125" s="18"/>
      <c r="C125" s="18"/>
    </row>
    <row r="126" spans="2:3" s="9" customFormat="1" x14ac:dyDescent="0.25">
      <c r="B126" s="18"/>
      <c r="C126" s="18"/>
    </row>
    <row r="127" spans="2:3" s="9" customFormat="1" x14ac:dyDescent="0.25">
      <c r="B127" s="18"/>
      <c r="C127" s="18"/>
    </row>
    <row r="128" spans="2:3" s="9" customFormat="1" x14ac:dyDescent="0.25">
      <c r="B128" s="18"/>
      <c r="C128" s="18"/>
    </row>
    <row r="129" spans="2:3" s="9" customFormat="1" x14ac:dyDescent="0.25">
      <c r="B129" s="18"/>
      <c r="C129" s="18"/>
    </row>
    <row r="130" spans="2:3" s="9" customFormat="1" x14ac:dyDescent="0.25">
      <c r="B130" s="18"/>
      <c r="C130" s="18"/>
    </row>
    <row r="131" spans="2:3" s="9" customFormat="1" x14ac:dyDescent="0.25">
      <c r="B131" s="18"/>
      <c r="C131" s="18"/>
    </row>
    <row r="132" spans="2:3" s="9" customFormat="1" x14ac:dyDescent="0.25">
      <c r="B132" s="18"/>
      <c r="C132" s="18"/>
    </row>
    <row r="133" spans="2:3" s="9" customFormat="1" x14ac:dyDescent="0.25">
      <c r="B133" s="18"/>
      <c r="C133" s="18"/>
    </row>
    <row r="134" spans="2:3" s="9" customFormat="1" x14ac:dyDescent="0.25">
      <c r="B134" s="18"/>
      <c r="C134" s="18"/>
    </row>
    <row r="135" spans="2:3" s="9" customFormat="1" x14ac:dyDescent="0.25">
      <c r="B135" s="18"/>
      <c r="C135" s="18"/>
    </row>
    <row r="136" spans="2:3" s="9" customFormat="1" x14ac:dyDescent="0.25">
      <c r="B136" s="18"/>
      <c r="C136" s="18"/>
    </row>
    <row r="137" spans="2:3" s="9" customFormat="1" x14ac:dyDescent="0.25">
      <c r="B137" s="18"/>
      <c r="C137" s="18"/>
    </row>
    <row r="138" spans="2:3" s="9" customFormat="1" x14ac:dyDescent="0.25">
      <c r="B138" s="18"/>
      <c r="C138" s="18"/>
    </row>
    <row r="139" spans="2:3" s="9" customFormat="1" x14ac:dyDescent="0.25">
      <c r="B139" s="18"/>
      <c r="C139" s="18"/>
    </row>
    <row r="140" spans="2:3" s="9" customFormat="1" x14ac:dyDescent="0.25">
      <c r="B140" s="18"/>
      <c r="C140" s="18"/>
    </row>
    <row r="141" spans="2:3" s="9" customFormat="1" x14ac:dyDescent="0.25">
      <c r="B141" s="18"/>
      <c r="C141" s="18"/>
    </row>
    <row r="142" spans="2:3" s="9" customFormat="1" x14ac:dyDescent="0.25">
      <c r="B142" s="18"/>
      <c r="C142" s="18"/>
    </row>
    <row r="143" spans="2:3" s="9" customFormat="1" x14ac:dyDescent="0.25">
      <c r="B143" s="18"/>
      <c r="C143" s="18"/>
    </row>
    <row r="144" spans="2:3" s="9" customFormat="1" x14ac:dyDescent="0.25">
      <c r="B144" s="18"/>
      <c r="C144" s="18"/>
    </row>
    <row r="145" spans="2:3" s="9" customFormat="1" x14ac:dyDescent="0.25">
      <c r="B145" s="18"/>
      <c r="C145" s="18"/>
    </row>
    <row r="146" spans="2:3" s="9" customFormat="1" x14ac:dyDescent="0.25">
      <c r="B146" s="18"/>
      <c r="C146" s="18"/>
    </row>
    <row r="147" spans="2:3" s="9" customFormat="1" x14ac:dyDescent="0.25">
      <c r="B147" s="18"/>
      <c r="C147" s="18"/>
    </row>
    <row r="148" spans="2:3" s="9" customFormat="1" x14ac:dyDescent="0.25">
      <c r="B148" s="18"/>
      <c r="C148" s="18"/>
    </row>
    <row r="149" spans="2:3" s="9" customFormat="1" x14ac:dyDescent="0.25">
      <c r="B149" s="18"/>
      <c r="C149" s="18"/>
    </row>
    <row r="150" spans="2:3" s="9" customFormat="1" x14ac:dyDescent="0.25">
      <c r="B150" s="18"/>
      <c r="C150" s="18"/>
    </row>
    <row r="151" spans="2:3" s="9" customFormat="1" x14ac:dyDescent="0.25">
      <c r="B151" s="18"/>
      <c r="C151" s="18"/>
    </row>
    <row r="152" spans="2:3" s="9" customFormat="1" x14ac:dyDescent="0.25">
      <c r="B152" s="18"/>
      <c r="C152" s="18"/>
    </row>
    <row r="153" spans="2:3" s="9" customFormat="1" x14ac:dyDescent="0.25">
      <c r="B153" s="18"/>
      <c r="C153" s="18"/>
    </row>
    <row r="154" spans="2:3" s="9" customFormat="1" x14ac:dyDescent="0.25">
      <c r="B154" s="18"/>
      <c r="C154" s="18"/>
    </row>
    <row r="155" spans="2:3" s="9" customFormat="1" x14ac:dyDescent="0.25">
      <c r="B155" s="18"/>
      <c r="C155" s="18"/>
    </row>
    <row r="156" spans="2:3" s="9" customFormat="1" x14ac:dyDescent="0.25">
      <c r="B156" s="18"/>
      <c r="C156" s="18"/>
    </row>
    <row r="157" spans="2:3" s="9" customFormat="1" x14ac:dyDescent="0.25">
      <c r="B157" s="18"/>
      <c r="C157" s="18"/>
    </row>
    <row r="158" spans="2:3" s="9" customFormat="1" x14ac:dyDescent="0.25">
      <c r="B158" s="18"/>
      <c r="C158" s="18"/>
    </row>
    <row r="159" spans="2:3" s="9" customFormat="1" x14ac:dyDescent="0.25">
      <c r="B159" s="18"/>
      <c r="C159" s="18"/>
    </row>
    <row r="160" spans="2:3" s="9" customFormat="1" x14ac:dyDescent="0.25">
      <c r="B160" s="18"/>
      <c r="C160" s="18"/>
    </row>
    <row r="161" spans="2:3" s="9" customFormat="1" x14ac:dyDescent="0.25">
      <c r="B161" s="18"/>
      <c r="C161" s="18"/>
    </row>
    <row r="162" spans="2:3" s="9" customFormat="1" x14ac:dyDescent="0.25">
      <c r="B162" s="18"/>
      <c r="C162" s="18"/>
    </row>
    <row r="163" spans="2:3" s="9" customFormat="1" x14ac:dyDescent="0.25">
      <c r="B163" s="18"/>
      <c r="C163" s="18"/>
    </row>
    <row r="164" spans="2:3" s="9" customFormat="1" x14ac:dyDescent="0.25">
      <c r="B164" s="18"/>
      <c r="C164" s="18"/>
    </row>
    <row r="165" spans="2:3" s="9" customFormat="1" x14ac:dyDescent="0.25">
      <c r="B165" s="18"/>
      <c r="C165" s="18"/>
    </row>
    <row r="166" spans="2:3" s="9" customFormat="1" x14ac:dyDescent="0.25">
      <c r="B166" s="18"/>
      <c r="C166" s="18"/>
    </row>
    <row r="167" spans="2:3" s="9" customFormat="1" x14ac:dyDescent="0.25">
      <c r="B167" s="18"/>
      <c r="C167" s="18"/>
    </row>
    <row r="168" spans="2:3" s="9" customFormat="1" x14ac:dyDescent="0.25">
      <c r="B168" s="18"/>
      <c r="C168" s="18"/>
    </row>
    <row r="169" spans="2:3" s="9" customFormat="1" x14ac:dyDescent="0.25">
      <c r="B169" s="18"/>
      <c r="C169" s="18"/>
    </row>
    <row r="170" spans="2:3" s="9" customFormat="1" x14ac:dyDescent="0.25">
      <c r="B170" s="18"/>
      <c r="C170" s="18"/>
    </row>
    <row r="171" spans="2:3" s="9" customFormat="1" x14ac:dyDescent="0.25">
      <c r="B171" s="18"/>
      <c r="C171" s="18"/>
    </row>
    <row r="172" spans="2:3" s="9" customFormat="1" x14ac:dyDescent="0.25">
      <c r="B172" s="18"/>
      <c r="C172" s="18"/>
    </row>
    <row r="173" spans="2:3" s="9" customFormat="1" x14ac:dyDescent="0.25">
      <c r="B173" s="18"/>
      <c r="C173" s="18"/>
    </row>
    <row r="174" spans="2:3" s="9" customFormat="1" x14ac:dyDescent="0.25">
      <c r="B174" s="18"/>
      <c r="C174" s="18"/>
    </row>
    <row r="175" spans="2:3" s="9" customFormat="1" x14ac:dyDescent="0.25">
      <c r="B175" s="18"/>
      <c r="C175" s="18"/>
    </row>
    <row r="176" spans="2:3" s="9" customFormat="1" x14ac:dyDescent="0.25">
      <c r="B176" s="18"/>
      <c r="C176" s="18"/>
    </row>
    <row r="177" spans="2:3" s="9" customFormat="1" x14ac:dyDescent="0.25">
      <c r="B177" s="18"/>
      <c r="C177" s="18"/>
    </row>
    <row r="178" spans="2:3" s="9" customFormat="1" x14ac:dyDescent="0.25">
      <c r="B178" s="18"/>
      <c r="C178" s="18"/>
    </row>
    <row r="179" spans="2:3" s="9" customFormat="1" x14ac:dyDescent="0.25">
      <c r="B179" s="18"/>
      <c r="C179" s="18"/>
    </row>
    <row r="180" spans="2:3" s="9" customFormat="1" x14ac:dyDescent="0.25">
      <c r="B180" s="18"/>
      <c r="C180" s="18"/>
    </row>
    <row r="181" spans="2:3" s="9" customFormat="1" x14ac:dyDescent="0.25">
      <c r="B181" s="18"/>
      <c r="C181" s="18"/>
    </row>
    <row r="182" spans="2:3" s="9" customFormat="1" x14ac:dyDescent="0.25">
      <c r="B182" s="18"/>
      <c r="C182" s="18"/>
    </row>
    <row r="183" spans="2:3" s="9" customFormat="1" x14ac:dyDescent="0.25">
      <c r="B183" s="18"/>
      <c r="C183" s="18"/>
    </row>
    <row r="184" spans="2:3" s="9" customFormat="1" x14ac:dyDescent="0.25">
      <c r="B184" s="18"/>
      <c r="C184" s="18"/>
    </row>
    <row r="185" spans="2:3" s="9" customFormat="1" x14ac:dyDescent="0.25">
      <c r="B185" s="18"/>
      <c r="C185" s="18"/>
    </row>
    <row r="186" spans="2:3" s="9" customFormat="1" x14ac:dyDescent="0.25">
      <c r="B186" s="18"/>
      <c r="C186" s="18"/>
    </row>
    <row r="187" spans="2:3" s="9" customFormat="1" x14ac:dyDescent="0.25">
      <c r="B187" s="18"/>
      <c r="C187" s="18"/>
    </row>
    <row r="188" spans="2:3" s="9" customFormat="1" x14ac:dyDescent="0.25">
      <c r="B188" s="18"/>
      <c r="C188" s="18"/>
    </row>
    <row r="189" spans="2:3" s="9" customFormat="1" x14ac:dyDescent="0.25">
      <c r="B189" s="18"/>
      <c r="C189" s="18"/>
    </row>
    <row r="190" spans="2:3" s="9" customFormat="1" x14ac:dyDescent="0.25">
      <c r="B190" s="18"/>
      <c r="C190" s="18"/>
    </row>
    <row r="191" spans="2:3" s="9" customFormat="1" x14ac:dyDescent="0.25">
      <c r="B191" s="18"/>
      <c r="C191" s="18"/>
    </row>
    <row r="192" spans="2:3" s="9" customFormat="1" x14ac:dyDescent="0.25">
      <c r="B192" s="18"/>
      <c r="C192" s="18"/>
    </row>
    <row r="193" spans="2:3" s="9" customFormat="1" x14ac:dyDescent="0.25">
      <c r="B193" s="18"/>
      <c r="C193" s="18"/>
    </row>
    <row r="194" spans="2:3" s="9" customFormat="1" x14ac:dyDescent="0.25">
      <c r="B194" s="18"/>
      <c r="C194" s="18"/>
    </row>
    <row r="195" spans="2:3" s="9" customFormat="1" x14ac:dyDescent="0.25">
      <c r="B195" s="18"/>
      <c r="C195" s="18"/>
    </row>
    <row r="196" spans="2:3" s="9" customFormat="1" x14ac:dyDescent="0.25">
      <c r="B196" s="18"/>
      <c r="C196" s="18"/>
    </row>
    <row r="197" spans="2:3" s="9" customFormat="1" x14ac:dyDescent="0.25">
      <c r="B197" s="18"/>
      <c r="C197" s="18"/>
    </row>
    <row r="198" spans="2:3" s="9" customFormat="1" x14ac:dyDescent="0.25">
      <c r="B198" s="18"/>
      <c r="C198" s="18"/>
    </row>
    <row r="199" spans="2:3" s="9" customFormat="1" x14ac:dyDescent="0.25">
      <c r="B199" s="18"/>
      <c r="C199" s="18"/>
    </row>
    <row r="200" spans="2:3" s="9" customFormat="1" x14ac:dyDescent="0.25">
      <c r="B200" s="18"/>
      <c r="C200" s="18"/>
    </row>
    <row r="201" spans="2:3" s="9" customFormat="1" x14ac:dyDescent="0.25">
      <c r="B201" s="18"/>
      <c r="C201" s="18"/>
    </row>
    <row r="202" spans="2:3" s="9" customFormat="1" x14ac:dyDescent="0.25">
      <c r="B202" s="18"/>
      <c r="C202" s="18"/>
    </row>
    <row r="203" spans="2:3" s="9" customFormat="1" x14ac:dyDescent="0.25">
      <c r="B203" s="18"/>
      <c r="C203" s="18"/>
    </row>
    <row r="204" spans="2:3" s="9" customFormat="1" x14ac:dyDescent="0.25">
      <c r="B204" s="18"/>
      <c r="C204" s="18"/>
    </row>
    <row r="205" spans="2:3" s="9" customFormat="1" x14ac:dyDescent="0.25">
      <c r="B205" s="18"/>
      <c r="C205" s="18"/>
    </row>
    <row r="206" spans="2:3" s="9" customFormat="1" x14ac:dyDescent="0.25">
      <c r="B206" s="18"/>
      <c r="C206" s="18"/>
    </row>
    <row r="207" spans="2:3" s="9" customFormat="1" x14ac:dyDescent="0.25">
      <c r="B207" s="18"/>
      <c r="C207" s="18"/>
    </row>
    <row r="208" spans="2:3" s="9" customFormat="1" x14ac:dyDescent="0.25">
      <c r="B208" s="18"/>
      <c r="C208" s="18"/>
    </row>
    <row r="209" spans="2:3" s="9" customFormat="1" x14ac:dyDescent="0.25">
      <c r="B209" s="18"/>
      <c r="C209" s="18"/>
    </row>
    <row r="210" spans="2:3" s="9" customFormat="1" x14ac:dyDescent="0.25">
      <c r="B210" s="18"/>
      <c r="C210" s="18"/>
    </row>
    <row r="211" spans="2:3" s="9" customFormat="1" x14ac:dyDescent="0.25">
      <c r="B211" s="18"/>
      <c r="C211" s="18"/>
    </row>
    <row r="212" spans="2:3" s="9" customFormat="1" x14ac:dyDescent="0.25">
      <c r="B212" s="18"/>
      <c r="C212" s="18"/>
    </row>
    <row r="213" spans="2:3" s="9" customFormat="1" x14ac:dyDescent="0.25">
      <c r="B213" s="18"/>
      <c r="C213" s="18"/>
    </row>
    <row r="214" spans="2:3" s="9" customFormat="1" x14ac:dyDescent="0.25">
      <c r="B214" s="18"/>
      <c r="C214" s="18"/>
    </row>
    <row r="215" spans="2:3" s="9" customFormat="1" x14ac:dyDescent="0.25">
      <c r="B215" s="18"/>
      <c r="C215" s="18"/>
    </row>
    <row r="216" spans="2:3" s="9" customFormat="1" x14ac:dyDescent="0.25">
      <c r="B216" s="18"/>
      <c r="C216" s="18"/>
    </row>
    <row r="217" spans="2:3" s="9" customFormat="1" x14ac:dyDescent="0.25">
      <c r="B217" s="18"/>
      <c r="C217" s="18"/>
    </row>
    <row r="218" spans="2:3" s="9" customFormat="1" x14ac:dyDescent="0.25">
      <c r="B218" s="18"/>
      <c r="C218" s="18"/>
    </row>
    <row r="219" spans="2:3" s="9" customFormat="1" x14ac:dyDescent="0.25">
      <c r="B219" s="18"/>
      <c r="C219" s="18"/>
    </row>
    <row r="220" spans="2:3" s="9" customFormat="1" x14ac:dyDescent="0.25">
      <c r="B220" s="18"/>
      <c r="C220" s="18"/>
    </row>
    <row r="221" spans="2:3" s="9" customFormat="1" x14ac:dyDescent="0.25">
      <c r="B221" s="18"/>
      <c r="C221" s="18"/>
    </row>
    <row r="222" spans="2:3" s="9" customFormat="1" x14ac:dyDescent="0.25">
      <c r="B222" s="18"/>
      <c r="C222" s="18"/>
    </row>
    <row r="223" spans="2:3" s="9" customFormat="1" x14ac:dyDescent="0.25">
      <c r="B223" s="18"/>
      <c r="C223" s="18"/>
    </row>
    <row r="224" spans="2:3" s="9" customFormat="1" x14ac:dyDescent="0.25">
      <c r="B224" s="18"/>
      <c r="C224" s="18"/>
    </row>
    <row r="225" spans="2:3" s="9" customFormat="1" x14ac:dyDescent="0.25">
      <c r="B225" s="18"/>
      <c r="C225" s="18"/>
    </row>
    <row r="226" spans="2:3" s="9" customFormat="1" x14ac:dyDescent="0.25">
      <c r="B226" s="18"/>
      <c r="C226" s="18"/>
    </row>
    <row r="227" spans="2:3" s="9" customFormat="1" x14ac:dyDescent="0.25">
      <c r="B227" s="18"/>
      <c r="C227" s="18"/>
    </row>
    <row r="228" spans="2:3" s="9" customFormat="1" x14ac:dyDescent="0.25">
      <c r="B228" s="18"/>
      <c r="C228" s="18"/>
    </row>
    <row r="229" spans="2:3" s="9" customFormat="1" x14ac:dyDescent="0.25">
      <c r="B229" s="18"/>
      <c r="C229" s="18"/>
    </row>
    <row r="230" spans="2:3" s="9" customFormat="1" x14ac:dyDescent="0.25">
      <c r="B230" s="18"/>
      <c r="C230" s="18"/>
    </row>
    <row r="231" spans="2:3" s="9" customFormat="1" x14ac:dyDescent="0.25">
      <c r="B231" s="18"/>
      <c r="C231" s="18"/>
    </row>
    <row r="232" spans="2:3" s="9" customFormat="1" x14ac:dyDescent="0.25">
      <c r="B232" s="18"/>
      <c r="C232" s="18"/>
    </row>
    <row r="233" spans="2:3" s="9" customFormat="1" x14ac:dyDescent="0.25">
      <c r="B233" s="18"/>
      <c r="C233" s="18"/>
    </row>
    <row r="234" spans="2:3" s="9" customFormat="1" x14ac:dyDescent="0.25">
      <c r="B234" s="18"/>
      <c r="C234" s="18"/>
    </row>
    <row r="235" spans="2:3" s="9" customFormat="1" x14ac:dyDescent="0.25">
      <c r="B235" s="18"/>
      <c r="C235" s="18"/>
    </row>
    <row r="236" spans="2:3" s="9" customFormat="1" x14ac:dyDescent="0.25">
      <c r="B236" s="18"/>
      <c r="C236" s="18"/>
    </row>
    <row r="237" spans="2:3" s="9" customFormat="1" x14ac:dyDescent="0.25">
      <c r="B237" s="18"/>
      <c r="C237" s="18"/>
    </row>
    <row r="238" spans="2:3" s="9" customFormat="1" x14ac:dyDescent="0.25">
      <c r="B238" s="18"/>
      <c r="C238" s="18"/>
    </row>
    <row r="239" spans="2:3" s="9" customFormat="1" x14ac:dyDescent="0.25">
      <c r="B239" s="18"/>
      <c r="C239" s="18"/>
    </row>
    <row r="240" spans="2:3" s="9" customFormat="1" x14ac:dyDescent="0.25">
      <c r="B240" s="18"/>
      <c r="C240" s="18"/>
    </row>
    <row r="241" spans="2:3" s="9" customFormat="1" x14ac:dyDescent="0.25">
      <c r="B241" s="18"/>
      <c r="C241" s="18"/>
    </row>
    <row r="242" spans="2:3" s="9" customFormat="1" x14ac:dyDescent="0.25">
      <c r="B242" s="18"/>
      <c r="C242" s="18"/>
    </row>
    <row r="243" spans="2:3" s="9" customFormat="1" x14ac:dyDescent="0.25">
      <c r="B243" s="18"/>
      <c r="C243" s="18"/>
    </row>
    <row r="244" spans="2:3" s="9" customFormat="1" x14ac:dyDescent="0.25">
      <c r="B244" s="18"/>
      <c r="C244" s="18"/>
    </row>
    <row r="245" spans="2:3" s="9" customFormat="1" x14ac:dyDescent="0.25">
      <c r="B245" s="18"/>
      <c r="C245" s="18"/>
    </row>
    <row r="246" spans="2:3" s="9" customFormat="1" x14ac:dyDescent="0.25">
      <c r="B246" s="18"/>
      <c r="C246" s="18"/>
    </row>
    <row r="247" spans="2:3" s="9" customFormat="1" x14ac:dyDescent="0.25">
      <c r="B247" s="18"/>
      <c r="C247" s="18"/>
    </row>
    <row r="248" spans="2:3" s="9" customFormat="1" x14ac:dyDescent="0.25">
      <c r="B248" s="18"/>
      <c r="C248" s="18"/>
    </row>
    <row r="249" spans="2:3" s="9" customFormat="1" x14ac:dyDescent="0.25">
      <c r="B249" s="18"/>
      <c r="C249" s="18"/>
    </row>
    <row r="250" spans="2:3" s="9" customFormat="1" x14ac:dyDescent="0.25">
      <c r="B250" s="18"/>
      <c r="C250" s="18"/>
    </row>
    <row r="251" spans="2:3" s="9" customFormat="1" x14ac:dyDescent="0.25">
      <c r="B251" s="18"/>
      <c r="C251" s="18"/>
    </row>
    <row r="252" spans="2:3" s="9" customFormat="1" x14ac:dyDescent="0.25">
      <c r="B252" s="18"/>
      <c r="C252" s="18"/>
    </row>
    <row r="253" spans="2:3" s="9" customFormat="1" x14ac:dyDescent="0.25">
      <c r="B253" s="18"/>
      <c r="C253" s="18"/>
    </row>
    <row r="254" spans="2:3" s="9" customFormat="1" x14ac:dyDescent="0.25">
      <c r="B254" s="18"/>
      <c r="C254" s="18"/>
    </row>
    <row r="255" spans="2:3" s="9" customFormat="1" x14ac:dyDescent="0.25">
      <c r="B255" s="18"/>
      <c r="C255" s="18"/>
    </row>
    <row r="256" spans="2:3" s="9" customFormat="1" x14ac:dyDescent="0.25">
      <c r="B256" s="18"/>
      <c r="C256" s="18"/>
    </row>
    <row r="257" spans="2:5" s="9" customFormat="1" x14ac:dyDescent="0.25">
      <c r="B257" s="18"/>
      <c r="C257" s="18"/>
    </row>
    <row r="258" spans="2:5" s="9" customFormat="1" x14ac:dyDescent="0.25">
      <c r="B258" s="18"/>
      <c r="C258" s="18"/>
    </row>
    <row r="259" spans="2:5" s="9" customFormat="1" x14ac:dyDescent="0.25">
      <c r="B259" s="18"/>
      <c r="C259" s="18"/>
    </row>
    <row r="260" spans="2:5" s="9" customFormat="1" x14ac:dyDescent="0.25">
      <c r="B260" s="18"/>
      <c r="C260" s="18"/>
    </row>
    <row r="261" spans="2:5" s="9" customFormat="1" x14ac:dyDescent="0.25">
      <c r="B261" s="18"/>
      <c r="C261" s="18"/>
    </row>
    <row r="262" spans="2:5" s="9" customFormat="1" x14ac:dyDescent="0.25">
      <c r="B262" s="18"/>
      <c r="C262" s="18"/>
    </row>
    <row r="263" spans="2:5" s="9" customFormat="1" x14ac:dyDescent="0.25">
      <c r="B263" s="18"/>
      <c r="C263" s="18"/>
    </row>
    <row r="264" spans="2:5" s="9" customFormat="1" x14ac:dyDescent="0.25">
      <c r="B264" s="18"/>
      <c r="C264" s="18"/>
    </row>
    <row r="265" spans="2:5" s="9" customFormat="1" x14ac:dyDescent="0.25">
      <c r="B265" s="18"/>
      <c r="C265" s="18"/>
    </row>
    <row r="266" spans="2:5" s="9" customFormat="1" x14ac:dyDescent="0.25">
      <c r="B266" s="19"/>
      <c r="C266" s="19"/>
      <c r="D266"/>
      <c r="E266"/>
    </row>
    <row r="267" spans="2:5" s="9" customFormat="1" x14ac:dyDescent="0.25">
      <c r="B267" s="19"/>
      <c r="C267" s="19"/>
      <c r="D267"/>
      <c r="E267"/>
    </row>
    <row r="268" spans="2:5" s="9" customFormat="1" x14ac:dyDescent="0.25">
      <c r="B268" s="19"/>
      <c r="C268" s="19"/>
      <c r="D268"/>
      <c r="E268"/>
    </row>
    <row r="269" spans="2:5" s="9" customFormat="1" x14ac:dyDescent="0.25">
      <c r="B269" s="19"/>
      <c r="C269" s="19"/>
      <c r="D269"/>
      <c r="E269"/>
    </row>
  </sheetData>
  <mergeCells count="3">
    <mergeCell ref="C3:C4"/>
    <mergeCell ref="B1:F1"/>
    <mergeCell ref="B3:B5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49"/>
  <sheetViews>
    <sheetView showGridLines="0" zoomScale="90" zoomScaleNormal="90" workbookViewId="0">
      <selection activeCell="G27" sqref="G27"/>
    </sheetView>
  </sheetViews>
  <sheetFormatPr defaultColWidth="14.42578125" defaultRowHeight="15" x14ac:dyDescent="0.25"/>
  <cols>
    <col min="1" max="1" width="11.7109375" style="1" customWidth="1"/>
    <col min="2" max="2" width="41.42578125" style="1" customWidth="1"/>
    <col min="3" max="3" width="12.85546875" style="1" customWidth="1"/>
    <col min="4" max="4" width="20.28515625" style="1" customWidth="1"/>
    <col min="5" max="5" width="3.140625" style="7" customWidth="1"/>
    <col min="6" max="8" width="17.7109375" style="1" customWidth="1"/>
    <col min="9" max="9" width="37.42578125" style="1" customWidth="1"/>
    <col min="10" max="10" width="17.7109375" style="1" customWidth="1"/>
    <col min="11" max="27" width="14.42578125" style="7"/>
    <col min="28" max="16384" width="14.42578125" style="1"/>
  </cols>
  <sheetData>
    <row r="1" spans="1:27" s="48" customFormat="1" ht="15.75" x14ac:dyDescent="0.25">
      <c r="A1" s="57" t="s">
        <v>26</v>
      </c>
      <c r="B1" s="98"/>
      <c r="C1" s="98"/>
      <c r="D1" s="99"/>
      <c r="E1" s="35"/>
      <c r="F1" s="94" t="s">
        <v>27</v>
      </c>
      <c r="G1" s="95"/>
      <c r="H1" s="95"/>
      <c r="I1" s="96"/>
    </row>
    <row r="2" spans="1:27" s="48" customFormat="1" x14ac:dyDescent="0.25">
      <c r="A2" s="73" t="s">
        <v>23</v>
      </c>
      <c r="B2" s="92" t="s">
        <v>83</v>
      </c>
      <c r="C2" s="75"/>
      <c r="D2" s="76"/>
      <c r="E2" s="35"/>
      <c r="F2" s="118" t="s">
        <v>87</v>
      </c>
      <c r="G2" s="100" t="s">
        <v>89</v>
      </c>
      <c r="H2" s="101"/>
      <c r="I2" s="102"/>
    </row>
    <row r="3" spans="1:27" s="48" customFormat="1" ht="57.75" customHeight="1" x14ac:dyDescent="0.25">
      <c r="A3" s="74"/>
      <c r="B3" s="93"/>
      <c r="C3" s="77"/>
      <c r="D3" s="78"/>
      <c r="E3" s="35"/>
      <c r="F3" s="119"/>
      <c r="G3" s="103"/>
      <c r="H3" s="104"/>
      <c r="I3" s="105"/>
    </row>
    <row r="4" spans="1:27" s="48" customFormat="1" ht="15" customHeight="1" x14ac:dyDescent="0.25">
      <c r="A4" s="73" t="s">
        <v>24</v>
      </c>
      <c r="B4" s="80" t="s">
        <v>84</v>
      </c>
      <c r="C4" s="81"/>
      <c r="D4" s="82"/>
      <c r="E4" s="35"/>
      <c r="F4" s="118" t="s">
        <v>88</v>
      </c>
      <c r="G4" s="100" t="s">
        <v>90</v>
      </c>
      <c r="H4" s="101"/>
      <c r="I4" s="102"/>
    </row>
    <row r="5" spans="1:27" s="48" customFormat="1" ht="16.5" customHeight="1" x14ac:dyDescent="0.25">
      <c r="A5" s="74"/>
      <c r="B5" s="83"/>
      <c r="C5" s="84"/>
      <c r="D5" s="85"/>
      <c r="F5" s="119"/>
      <c r="G5" s="103"/>
      <c r="H5" s="104"/>
      <c r="I5" s="105"/>
    </row>
    <row r="6" spans="1:27" s="48" customFormat="1" ht="15" customHeight="1" x14ac:dyDescent="0.25">
      <c r="A6" s="73" t="s">
        <v>25</v>
      </c>
      <c r="B6" s="86" t="s">
        <v>85</v>
      </c>
      <c r="C6" s="87"/>
      <c r="D6" s="88"/>
      <c r="F6" s="116" t="s">
        <v>79</v>
      </c>
      <c r="G6" s="120" t="s">
        <v>86</v>
      </c>
      <c r="H6" s="121"/>
      <c r="I6" s="122"/>
    </row>
    <row r="7" spans="1:27" s="48" customFormat="1" ht="14.25" customHeight="1" x14ac:dyDescent="0.25">
      <c r="A7" s="79"/>
      <c r="B7" s="89"/>
      <c r="C7" s="90"/>
      <c r="D7" s="91"/>
      <c r="F7" s="117"/>
      <c r="G7" s="89"/>
      <c r="H7" s="90"/>
      <c r="I7" s="91"/>
    </row>
    <row r="8" spans="1:27" ht="14.25" customHeight="1" x14ac:dyDescent="0.25">
      <c r="E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</row>
    <row r="9" spans="1:27" x14ac:dyDescent="0.25">
      <c r="E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</row>
    <row r="10" spans="1:27" ht="15.75" x14ac:dyDescent="0.25">
      <c r="A10" s="57" t="s">
        <v>26</v>
      </c>
      <c r="B10" s="58"/>
      <c r="C10" s="58"/>
      <c r="D10" s="59"/>
      <c r="E10" s="97"/>
      <c r="F10" s="125" t="s">
        <v>27</v>
      </c>
      <c r="G10" s="126"/>
      <c r="H10" s="126"/>
      <c r="I10" s="127"/>
      <c r="J10" s="7"/>
    </row>
    <row r="11" spans="1:27" x14ac:dyDescent="0.25">
      <c r="A11" s="73" t="s">
        <v>23</v>
      </c>
      <c r="B11" s="75" t="s">
        <v>76</v>
      </c>
      <c r="C11" s="75"/>
      <c r="D11" s="76"/>
      <c r="E11" s="97"/>
      <c r="F11" s="110" t="s">
        <v>77</v>
      </c>
      <c r="G11" s="100" t="s">
        <v>81</v>
      </c>
      <c r="H11" s="101"/>
      <c r="I11" s="102"/>
      <c r="J11" s="7"/>
    </row>
    <row r="12" spans="1:27" ht="30.95" customHeight="1" x14ac:dyDescent="0.25">
      <c r="A12" s="74"/>
      <c r="B12" s="77"/>
      <c r="C12" s="77"/>
      <c r="D12" s="78"/>
      <c r="E12" s="97"/>
      <c r="F12" s="79"/>
      <c r="G12" s="103"/>
      <c r="H12" s="104"/>
      <c r="I12" s="10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 spans="1:27" x14ac:dyDescent="0.25">
      <c r="A13" s="73" t="s">
        <v>24</v>
      </c>
      <c r="B13" s="111" t="s">
        <v>74</v>
      </c>
      <c r="C13" s="75"/>
      <c r="D13" s="76"/>
      <c r="E13" s="97"/>
      <c r="F13" s="116" t="s">
        <v>78</v>
      </c>
      <c r="G13" s="101" t="s">
        <v>82</v>
      </c>
      <c r="H13" s="101"/>
      <c r="I13" s="102"/>
      <c r="J13" s="7"/>
    </row>
    <row r="14" spans="1:27" ht="30.95" customHeight="1" x14ac:dyDescent="0.25">
      <c r="A14" s="74"/>
      <c r="B14" s="77"/>
      <c r="C14" s="77"/>
      <c r="D14" s="78"/>
      <c r="E14" s="97"/>
      <c r="F14" s="117"/>
      <c r="G14" s="104"/>
      <c r="H14" s="104"/>
      <c r="I14" s="10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 spans="1:27" x14ac:dyDescent="0.25">
      <c r="A15" s="73" t="s">
        <v>25</v>
      </c>
      <c r="B15" s="87" t="s">
        <v>75</v>
      </c>
      <c r="C15" s="112"/>
      <c r="D15" s="113"/>
      <c r="E15" s="97"/>
      <c r="F15" s="116" t="s">
        <v>79</v>
      </c>
      <c r="G15" s="101" t="s">
        <v>80</v>
      </c>
      <c r="H15" s="106"/>
      <c r="I15" s="107"/>
      <c r="J15" s="7"/>
    </row>
    <row r="16" spans="1:27" x14ac:dyDescent="0.25">
      <c r="A16" s="79"/>
      <c r="B16" s="114"/>
      <c r="C16" s="114"/>
      <c r="D16" s="115"/>
      <c r="E16" s="33"/>
      <c r="F16" s="117"/>
      <c r="G16" s="108"/>
      <c r="H16" s="108"/>
      <c r="I16" s="109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 spans="1:9" s="7" customFormat="1" x14ac:dyDescent="0.25"/>
    <row r="18" spans="1:9" s="7" customFormat="1" x14ac:dyDescent="0.25"/>
    <row r="19" spans="1:9" s="7" customFormat="1" ht="15.75" x14ac:dyDescent="0.25">
      <c r="A19" s="57" t="s">
        <v>26</v>
      </c>
      <c r="B19" s="58"/>
      <c r="C19" s="58"/>
      <c r="D19" s="59"/>
      <c r="E19" s="35"/>
      <c r="F19" s="125" t="s">
        <v>27</v>
      </c>
      <c r="G19" s="126"/>
      <c r="H19" s="126"/>
      <c r="I19" s="127"/>
    </row>
    <row r="20" spans="1:9" s="7" customFormat="1" x14ac:dyDescent="0.25">
      <c r="A20" s="73" t="s">
        <v>23</v>
      </c>
      <c r="B20" s="75" t="s">
        <v>91</v>
      </c>
      <c r="C20" s="75"/>
      <c r="D20" s="76"/>
      <c r="E20" s="35"/>
      <c r="F20" s="124" t="s">
        <v>92</v>
      </c>
      <c r="G20" s="120" t="s">
        <v>94</v>
      </c>
      <c r="H20" s="123"/>
      <c r="I20" s="124"/>
    </row>
    <row r="21" spans="1:9" s="25" customFormat="1" ht="36" customHeight="1" x14ac:dyDescent="0.25">
      <c r="A21" s="74"/>
      <c r="B21" s="77"/>
      <c r="C21" s="77"/>
      <c r="D21" s="78"/>
      <c r="E21" s="35"/>
      <c r="F21" s="115"/>
      <c r="G21" s="128"/>
      <c r="H21" s="114"/>
      <c r="I21" s="115"/>
    </row>
    <row r="22" spans="1:9" s="7" customFormat="1" x14ac:dyDescent="0.25">
      <c r="A22" s="73" t="s">
        <v>24</v>
      </c>
      <c r="B22" s="111" t="s">
        <v>96</v>
      </c>
      <c r="C22" s="75"/>
      <c r="D22" s="76"/>
      <c r="E22" s="35"/>
      <c r="F22" s="110" t="s">
        <v>93</v>
      </c>
      <c r="G22" s="121" t="s">
        <v>95</v>
      </c>
      <c r="H22" s="123"/>
      <c r="I22" s="124"/>
    </row>
    <row r="23" spans="1:9" s="25" customFormat="1" x14ac:dyDescent="0.25">
      <c r="A23" s="74"/>
      <c r="B23" s="77"/>
      <c r="C23" s="77"/>
      <c r="D23" s="78"/>
      <c r="F23" s="117"/>
      <c r="G23" s="114"/>
      <c r="H23" s="114"/>
      <c r="I23" s="115"/>
    </row>
    <row r="24" spans="1:9" s="7" customFormat="1" x14ac:dyDescent="0.25">
      <c r="A24" s="73" t="s">
        <v>25</v>
      </c>
      <c r="B24" s="87" t="s">
        <v>97</v>
      </c>
      <c r="C24" s="112"/>
      <c r="D24" s="113"/>
    </row>
    <row r="25" spans="1:9" s="25" customFormat="1" ht="33.950000000000003" customHeight="1" x14ac:dyDescent="0.25">
      <c r="A25" s="79"/>
      <c r="B25" s="114"/>
      <c r="C25" s="114"/>
      <c r="D25" s="115"/>
      <c r="F25" s="7"/>
      <c r="G25" s="7"/>
      <c r="H25" s="7"/>
      <c r="I25" s="7"/>
    </row>
    <row r="26" spans="1:9" s="7" customFormat="1" x14ac:dyDescent="0.25"/>
    <row r="27" spans="1:9" s="7" customFormat="1" x14ac:dyDescent="0.25"/>
    <row r="28" spans="1:9" s="7" customFormat="1" x14ac:dyDescent="0.25"/>
    <row r="29" spans="1:9" s="7" customFormat="1" x14ac:dyDescent="0.25"/>
    <row r="30" spans="1:9" s="7" customFormat="1" x14ac:dyDescent="0.25"/>
    <row r="31" spans="1:9" s="7" customFormat="1" x14ac:dyDescent="0.25"/>
    <row r="32" spans="1:9" s="7" customFormat="1" x14ac:dyDescent="0.25"/>
    <row r="33" s="7" customFormat="1" x14ac:dyDescent="0.25"/>
    <row r="34" s="7" customFormat="1" x14ac:dyDescent="0.25"/>
    <row r="35" s="7" customFormat="1" x14ac:dyDescent="0.25"/>
    <row r="36" s="7" customFormat="1" x14ac:dyDescent="0.25"/>
    <row r="37" s="7" customFormat="1" x14ac:dyDescent="0.25"/>
    <row r="38" s="7" customFormat="1" x14ac:dyDescent="0.25"/>
    <row r="39" s="7" customFormat="1" x14ac:dyDescent="0.25"/>
    <row r="40" s="7" customFormat="1" x14ac:dyDescent="0.25"/>
    <row r="41" s="7" customFormat="1" x14ac:dyDescent="0.25"/>
    <row r="42" s="7" customFormat="1" x14ac:dyDescent="0.25"/>
    <row r="43" s="7" customFormat="1" x14ac:dyDescent="0.25"/>
    <row r="44" s="7" customFormat="1" x14ac:dyDescent="0.25"/>
    <row r="45" s="7" customFormat="1" x14ac:dyDescent="0.25"/>
    <row r="46" s="7" customFormat="1" x14ac:dyDescent="0.25"/>
    <row r="47" s="7" customFormat="1" x14ac:dyDescent="0.25"/>
    <row r="48" s="7" customFormat="1" x14ac:dyDescent="0.25"/>
    <row r="49" s="7" customFormat="1" x14ac:dyDescent="0.25"/>
    <row r="50" s="7" customFormat="1" x14ac:dyDescent="0.25"/>
    <row r="51" s="7" customFormat="1" x14ac:dyDescent="0.25"/>
    <row r="52" s="7" customFormat="1" x14ac:dyDescent="0.25"/>
    <row r="53" s="7" customFormat="1" x14ac:dyDescent="0.25"/>
    <row r="54" s="7" customFormat="1" x14ac:dyDescent="0.25"/>
    <row r="55" s="7" customFormat="1" x14ac:dyDescent="0.25"/>
    <row r="56" s="7" customFormat="1" x14ac:dyDescent="0.25"/>
    <row r="57" s="7" customFormat="1" x14ac:dyDescent="0.25"/>
    <row r="58" s="7" customFormat="1" x14ac:dyDescent="0.25"/>
    <row r="59" s="7" customFormat="1" x14ac:dyDescent="0.25"/>
    <row r="60" s="7" customFormat="1" x14ac:dyDescent="0.25"/>
    <row r="61" s="7" customFormat="1" x14ac:dyDescent="0.25"/>
    <row r="62" s="7" customFormat="1" x14ac:dyDescent="0.25"/>
    <row r="63" s="7" customFormat="1" x14ac:dyDescent="0.25"/>
    <row r="64" s="7" customFormat="1" x14ac:dyDescent="0.25"/>
    <row r="65" s="7" customFormat="1" x14ac:dyDescent="0.25"/>
    <row r="66" s="7" customFormat="1" x14ac:dyDescent="0.25"/>
    <row r="67" s="7" customFormat="1" x14ac:dyDescent="0.25"/>
    <row r="68" s="7" customFormat="1" x14ac:dyDescent="0.25"/>
    <row r="69" s="7" customFormat="1" x14ac:dyDescent="0.25"/>
    <row r="70" s="7" customFormat="1" x14ac:dyDescent="0.25"/>
    <row r="71" s="7" customFormat="1" x14ac:dyDescent="0.25"/>
    <row r="72" s="7" customFormat="1" x14ac:dyDescent="0.25"/>
    <row r="73" s="7" customFormat="1" x14ac:dyDescent="0.25"/>
    <row r="74" s="7" customFormat="1" x14ac:dyDescent="0.25"/>
    <row r="75" s="7" customFormat="1" x14ac:dyDescent="0.25"/>
    <row r="76" s="7" customFormat="1" x14ac:dyDescent="0.25"/>
    <row r="77" s="7" customFormat="1" x14ac:dyDescent="0.25"/>
    <row r="78" s="7" customFormat="1" x14ac:dyDescent="0.25"/>
    <row r="79" s="7" customFormat="1" x14ac:dyDescent="0.25"/>
    <row r="80" s="7" customFormat="1" x14ac:dyDescent="0.25"/>
    <row r="81" s="7" customFormat="1" x14ac:dyDescent="0.25"/>
    <row r="82" s="7" customFormat="1" x14ac:dyDescent="0.25"/>
    <row r="83" s="7" customFormat="1" x14ac:dyDescent="0.25"/>
    <row r="84" s="7" customFormat="1" x14ac:dyDescent="0.25"/>
    <row r="85" s="7" customFormat="1" x14ac:dyDescent="0.25"/>
    <row r="86" s="7" customFormat="1" x14ac:dyDescent="0.25"/>
    <row r="87" s="7" customFormat="1" x14ac:dyDescent="0.25"/>
    <row r="88" s="7" customFormat="1" x14ac:dyDescent="0.25"/>
    <row r="89" s="7" customFormat="1" x14ac:dyDescent="0.25"/>
    <row r="90" s="7" customFormat="1" x14ac:dyDescent="0.25"/>
    <row r="91" s="7" customFormat="1" x14ac:dyDescent="0.25"/>
    <row r="92" s="7" customFormat="1" x14ac:dyDescent="0.25"/>
    <row r="93" s="7" customFormat="1" x14ac:dyDescent="0.25"/>
    <row r="94" s="7" customFormat="1" x14ac:dyDescent="0.25"/>
    <row r="95" s="7" customFormat="1" x14ac:dyDescent="0.25"/>
    <row r="96" s="7" customFormat="1" x14ac:dyDescent="0.25"/>
    <row r="97" s="7" customFormat="1" x14ac:dyDescent="0.25"/>
    <row r="98" s="7" customFormat="1" x14ac:dyDescent="0.25"/>
    <row r="99" s="7" customFormat="1" x14ac:dyDescent="0.25"/>
    <row r="100" s="7" customFormat="1" x14ac:dyDescent="0.25"/>
    <row r="101" s="7" customFormat="1" x14ac:dyDescent="0.25"/>
    <row r="102" s="7" customFormat="1" x14ac:dyDescent="0.25"/>
    <row r="103" s="7" customFormat="1" x14ac:dyDescent="0.25"/>
    <row r="104" s="7" customFormat="1" x14ac:dyDescent="0.25"/>
    <row r="105" s="7" customFormat="1" x14ac:dyDescent="0.25"/>
    <row r="106" s="7" customFormat="1" x14ac:dyDescent="0.25"/>
    <row r="107" s="7" customFormat="1" x14ac:dyDescent="0.25"/>
    <row r="108" s="7" customFormat="1" x14ac:dyDescent="0.25"/>
    <row r="109" s="7" customFormat="1" x14ac:dyDescent="0.25"/>
    <row r="110" s="7" customFormat="1" x14ac:dyDescent="0.25"/>
    <row r="111" s="7" customFormat="1" x14ac:dyDescent="0.25"/>
    <row r="112" s="7" customFormat="1" x14ac:dyDescent="0.25"/>
    <row r="113" s="7" customFormat="1" x14ac:dyDescent="0.25"/>
    <row r="114" s="7" customFormat="1" x14ac:dyDescent="0.25"/>
    <row r="115" s="7" customFormat="1" x14ac:dyDescent="0.25"/>
    <row r="116" s="7" customFormat="1" x14ac:dyDescent="0.25"/>
    <row r="117" s="7" customFormat="1" x14ac:dyDescent="0.25"/>
    <row r="118" s="7" customFormat="1" x14ac:dyDescent="0.25"/>
    <row r="119" s="7" customFormat="1" x14ac:dyDescent="0.25"/>
    <row r="120" s="7" customFormat="1" x14ac:dyDescent="0.25"/>
    <row r="121" s="7" customFormat="1" x14ac:dyDescent="0.25"/>
    <row r="122" s="7" customFormat="1" x14ac:dyDescent="0.25"/>
    <row r="123" s="7" customFormat="1" x14ac:dyDescent="0.25"/>
    <row r="124" s="7" customFormat="1" x14ac:dyDescent="0.25"/>
    <row r="125" s="7" customFormat="1" x14ac:dyDescent="0.25"/>
    <row r="126" s="7" customFormat="1" x14ac:dyDescent="0.25"/>
    <row r="127" s="7" customFormat="1" x14ac:dyDescent="0.25"/>
    <row r="128" s="7" customFormat="1" x14ac:dyDescent="0.25"/>
    <row r="129" s="7" customFormat="1" x14ac:dyDescent="0.25"/>
    <row r="130" s="7" customFormat="1" x14ac:dyDescent="0.25"/>
    <row r="131" s="7" customFormat="1" x14ac:dyDescent="0.25"/>
    <row r="132" s="7" customFormat="1" x14ac:dyDescent="0.25"/>
    <row r="133" s="7" customFormat="1" x14ac:dyDescent="0.25"/>
    <row r="134" s="7" customFormat="1" x14ac:dyDescent="0.25"/>
    <row r="135" s="7" customFormat="1" x14ac:dyDescent="0.25"/>
    <row r="136" s="7" customFormat="1" x14ac:dyDescent="0.25"/>
    <row r="137" s="7" customFormat="1" x14ac:dyDescent="0.25"/>
    <row r="138" s="7" customFormat="1" x14ac:dyDescent="0.25"/>
    <row r="139" s="7" customFormat="1" x14ac:dyDescent="0.25"/>
    <row r="140" s="7" customFormat="1" x14ac:dyDescent="0.25"/>
    <row r="141" s="7" customFormat="1" x14ac:dyDescent="0.25"/>
    <row r="142" s="7" customFormat="1" x14ac:dyDescent="0.25"/>
    <row r="143" s="7" customFormat="1" x14ac:dyDescent="0.25"/>
    <row r="144" s="7" customFormat="1" x14ac:dyDescent="0.25"/>
    <row r="145" spans="6:9" s="7" customFormat="1" x14ac:dyDescent="0.25"/>
    <row r="146" spans="6:9" s="7" customFormat="1" x14ac:dyDescent="0.25"/>
    <row r="147" spans="6:9" s="7" customFormat="1" x14ac:dyDescent="0.25"/>
    <row r="148" spans="6:9" s="7" customFormat="1" x14ac:dyDescent="0.25">
      <c r="F148" s="1"/>
      <c r="G148" s="1"/>
      <c r="H148" s="1"/>
      <c r="I148" s="1"/>
    </row>
    <row r="149" spans="6:9" s="7" customFormat="1" x14ac:dyDescent="0.25">
      <c r="F149" s="1"/>
      <c r="G149" s="1"/>
      <c r="H149" s="1"/>
      <c r="I149" s="1"/>
    </row>
  </sheetData>
  <mergeCells count="41">
    <mergeCell ref="G4:I5"/>
    <mergeCell ref="F6:F7"/>
    <mergeCell ref="G6:I7"/>
    <mergeCell ref="F22:F23"/>
    <mergeCell ref="G22:I23"/>
    <mergeCell ref="F19:I19"/>
    <mergeCell ref="F20:F21"/>
    <mergeCell ref="G20:I21"/>
    <mergeCell ref="F10:I10"/>
    <mergeCell ref="A20:A21"/>
    <mergeCell ref="B20:D21"/>
    <mergeCell ref="A22:A23"/>
    <mergeCell ref="B22:D23"/>
    <mergeCell ref="A24:A25"/>
    <mergeCell ref="B24:D25"/>
    <mergeCell ref="F1:I1"/>
    <mergeCell ref="A10:D10"/>
    <mergeCell ref="E10:E15"/>
    <mergeCell ref="A1:D1"/>
    <mergeCell ref="G11:I12"/>
    <mergeCell ref="G13:I14"/>
    <mergeCell ref="G15:I16"/>
    <mergeCell ref="F11:F12"/>
    <mergeCell ref="B13:D14"/>
    <mergeCell ref="B15:D16"/>
    <mergeCell ref="F13:F14"/>
    <mergeCell ref="F15:F16"/>
    <mergeCell ref="F2:F3"/>
    <mergeCell ref="G2:I3"/>
    <mergeCell ref="F4:F5"/>
    <mergeCell ref="A2:A3"/>
    <mergeCell ref="A4:A5"/>
    <mergeCell ref="A6:A7"/>
    <mergeCell ref="B4:D5"/>
    <mergeCell ref="B6:D7"/>
    <mergeCell ref="B2:D3"/>
    <mergeCell ref="A19:D19"/>
    <mergeCell ref="A11:A12"/>
    <mergeCell ref="B11:D12"/>
    <mergeCell ref="A13:A14"/>
    <mergeCell ref="A15:A16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64"/>
  <sheetViews>
    <sheetView workbookViewId="0">
      <selection activeCell="A3" sqref="A3:D3"/>
    </sheetView>
  </sheetViews>
  <sheetFormatPr defaultColWidth="14.42578125" defaultRowHeight="15" x14ac:dyDescent="0.25"/>
  <cols>
    <col min="1" max="1" width="11.7109375" style="1" customWidth="1"/>
    <col min="2" max="2" width="74.28515625" style="1" customWidth="1"/>
    <col min="3" max="3" width="12.85546875" style="1" customWidth="1"/>
    <col min="4" max="4" width="25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57" t="s">
        <v>7</v>
      </c>
      <c r="B1" s="58"/>
      <c r="C1" s="58"/>
      <c r="D1" s="59"/>
      <c r="E1" s="60"/>
    </row>
    <row r="2" spans="1:27" x14ac:dyDescent="0.25">
      <c r="A2" s="129" t="s">
        <v>60</v>
      </c>
      <c r="B2" s="129"/>
      <c r="C2" s="129"/>
      <c r="D2" s="130"/>
      <c r="E2" s="60"/>
    </row>
    <row r="3" spans="1:27" ht="32.25" customHeight="1" x14ac:dyDescent="0.25">
      <c r="A3" s="129" t="s">
        <v>61</v>
      </c>
      <c r="B3" s="129"/>
      <c r="C3" s="129"/>
      <c r="D3" s="130"/>
      <c r="E3" s="60"/>
      <c r="F3" s="8" t="s">
        <v>21</v>
      </c>
    </row>
    <row r="4" spans="1:27" ht="15.75" x14ac:dyDescent="0.25">
      <c r="A4" s="63" t="s">
        <v>9</v>
      </c>
      <c r="B4" s="64"/>
      <c r="C4" s="64"/>
      <c r="D4" s="65"/>
      <c r="E4" s="60"/>
      <c r="F4" s="8" t="s">
        <v>22</v>
      </c>
    </row>
    <row r="5" spans="1:27" x14ac:dyDescent="0.25">
      <c r="A5" s="61"/>
      <c r="B5" s="61"/>
      <c r="C5" s="131"/>
      <c r="D5" s="66"/>
      <c r="E5" s="60"/>
    </row>
    <row r="6" spans="1:27" s="15" customFormat="1" ht="15.75" x14ac:dyDescent="0.25">
      <c r="A6" s="10" t="s">
        <v>1</v>
      </c>
      <c r="B6" s="11" t="s">
        <v>3</v>
      </c>
      <c r="C6" s="13" t="s">
        <v>6</v>
      </c>
      <c r="D6" s="13" t="s">
        <v>8</v>
      </c>
      <c r="E6" s="60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</row>
    <row r="7" spans="1:27" ht="15.75" x14ac:dyDescent="0.25">
      <c r="A7" s="3">
        <v>1</v>
      </c>
      <c r="B7" s="179" t="s">
        <v>64</v>
      </c>
      <c r="C7" s="4" t="s">
        <v>47</v>
      </c>
      <c r="D7" s="49">
        <v>44241</v>
      </c>
      <c r="E7" s="60"/>
    </row>
    <row r="8" spans="1:27" ht="15.75" x14ac:dyDescent="0.25">
      <c r="A8" s="5">
        <v>2</v>
      </c>
      <c r="B8" s="179" t="s">
        <v>62</v>
      </c>
      <c r="C8" s="4" t="s">
        <v>46</v>
      </c>
      <c r="D8" s="49">
        <v>44244</v>
      </c>
      <c r="E8" s="60"/>
    </row>
    <row r="9" spans="1:27" ht="15.75" x14ac:dyDescent="0.25">
      <c r="A9" s="5">
        <v>3</v>
      </c>
      <c r="B9" s="179" t="s">
        <v>65</v>
      </c>
      <c r="C9" s="6" t="s">
        <v>46</v>
      </c>
      <c r="D9" s="32" t="s">
        <v>98</v>
      </c>
      <c r="E9" s="60"/>
    </row>
    <row r="10" spans="1:27" ht="15.75" x14ac:dyDescent="0.25">
      <c r="A10" s="5">
        <v>4</v>
      </c>
      <c r="B10" s="179" t="s">
        <v>102</v>
      </c>
      <c r="C10" s="6" t="s">
        <v>47</v>
      </c>
      <c r="D10" s="32" t="s">
        <v>98</v>
      </c>
      <c r="E10" s="60"/>
      <c r="F10" s="8"/>
    </row>
    <row r="11" spans="1:27" ht="15.75" x14ac:dyDescent="0.25">
      <c r="A11" s="5">
        <v>5</v>
      </c>
      <c r="B11" s="179" t="s">
        <v>66</v>
      </c>
      <c r="C11" s="4" t="s">
        <v>46</v>
      </c>
      <c r="D11" s="32" t="s">
        <v>98</v>
      </c>
      <c r="E11" s="60"/>
    </row>
    <row r="12" spans="1:27" ht="15.75" x14ac:dyDescent="0.25">
      <c r="A12" s="5">
        <v>6</v>
      </c>
      <c r="B12" s="179" t="s">
        <v>120</v>
      </c>
      <c r="C12" s="4" t="s">
        <v>73</v>
      </c>
      <c r="D12" s="32" t="s">
        <v>98</v>
      </c>
      <c r="E12" s="60"/>
    </row>
    <row r="13" spans="1:27" s="2" customFormat="1" x14ac:dyDescent="0.25"/>
    <row r="14" spans="1:27" s="2" customFormat="1" x14ac:dyDescent="0.25"/>
    <row r="15" spans="1:27" s="2" customFormat="1" x14ac:dyDescent="0.25"/>
    <row r="16" spans="1:27" s="2" customFormat="1" x14ac:dyDescent="0.25"/>
    <row r="17" s="2" customFormat="1" x14ac:dyDescent="0.25"/>
    <row r="18" s="2" customFormat="1" x14ac:dyDescent="0.25"/>
    <row r="19" s="2" customFormat="1" x14ac:dyDescent="0.25"/>
    <row r="20" s="2" customFormat="1" x14ac:dyDescent="0.25"/>
    <row r="21" s="2" customFormat="1" x14ac:dyDescent="0.25"/>
    <row r="22" s="2" customFormat="1" x14ac:dyDescent="0.25"/>
    <row r="23" s="2" customFormat="1" x14ac:dyDescent="0.25"/>
    <row r="24" s="2" customFormat="1" x14ac:dyDescent="0.25"/>
    <row r="25" s="2" customFormat="1" x14ac:dyDescent="0.25"/>
    <row r="26" s="2" customFormat="1" x14ac:dyDescent="0.25"/>
    <row r="27" s="2" customFormat="1" x14ac:dyDescent="0.25"/>
    <row r="28" s="2" customFormat="1" x14ac:dyDescent="0.25"/>
    <row r="29" s="2" customFormat="1" x14ac:dyDescent="0.25"/>
    <row r="30" s="2" customFormat="1" x14ac:dyDescent="0.25"/>
    <row r="31" s="2" customFormat="1" x14ac:dyDescent="0.25"/>
    <row r="3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  <row r="161" s="2" customFormat="1" x14ac:dyDescent="0.25"/>
    <row r="162" s="2" customFormat="1" x14ac:dyDescent="0.25"/>
    <row r="163" s="2" customFormat="1" x14ac:dyDescent="0.25"/>
    <row r="164" s="2" customFormat="1" x14ac:dyDescent="0.25"/>
  </sheetData>
  <mergeCells count="6">
    <mergeCell ref="A1:D1"/>
    <mergeCell ref="E1:E12"/>
    <mergeCell ref="A3:D3"/>
    <mergeCell ref="A4:D4"/>
    <mergeCell ref="A5:D5"/>
    <mergeCell ref="A2:D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57"/>
  <sheetViews>
    <sheetView workbookViewId="0">
      <selection activeCell="A3" sqref="A3:D3"/>
    </sheetView>
  </sheetViews>
  <sheetFormatPr defaultColWidth="14.42578125" defaultRowHeight="15" x14ac:dyDescent="0.25"/>
  <cols>
    <col min="1" max="1" width="11.7109375" style="1" customWidth="1"/>
    <col min="2" max="2" width="74.28515625" style="1" customWidth="1"/>
    <col min="3" max="3" width="12.85546875" style="1" customWidth="1"/>
    <col min="4" max="4" width="25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57" t="s">
        <v>7</v>
      </c>
      <c r="B1" s="58"/>
      <c r="C1" s="58"/>
      <c r="D1" s="59"/>
      <c r="E1" s="60"/>
    </row>
    <row r="2" spans="1:27" x14ac:dyDescent="0.25">
      <c r="A2" s="129" t="s">
        <v>100</v>
      </c>
      <c r="B2" s="129"/>
      <c r="C2" s="129"/>
      <c r="D2" s="130"/>
      <c r="E2" s="60"/>
    </row>
    <row r="3" spans="1:27" ht="32.25" customHeight="1" x14ac:dyDescent="0.25">
      <c r="A3" s="129" t="s">
        <v>101</v>
      </c>
      <c r="B3" s="129"/>
      <c r="C3" s="129"/>
      <c r="D3" s="130"/>
      <c r="E3" s="60"/>
      <c r="F3" s="8" t="s">
        <v>21</v>
      </c>
    </row>
    <row r="4" spans="1:27" ht="15.75" x14ac:dyDescent="0.25">
      <c r="A4" s="63" t="s">
        <v>10</v>
      </c>
      <c r="B4" s="64"/>
      <c r="C4" s="64"/>
      <c r="D4" s="65"/>
      <c r="E4" s="60"/>
      <c r="F4" s="8" t="s">
        <v>22</v>
      </c>
    </row>
    <row r="5" spans="1:27" x14ac:dyDescent="0.25">
      <c r="A5" s="61"/>
      <c r="B5" s="61"/>
      <c r="C5" s="131"/>
      <c r="D5" s="66"/>
      <c r="E5" s="60"/>
    </row>
    <row r="6" spans="1:27" s="15" customFormat="1" ht="15.75" x14ac:dyDescent="0.25">
      <c r="A6" s="10" t="s">
        <v>1</v>
      </c>
      <c r="B6" s="11" t="s">
        <v>3</v>
      </c>
      <c r="C6" s="13" t="s">
        <v>6</v>
      </c>
      <c r="D6" s="13" t="s">
        <v>8</v>
      </c>
      <c r="E6" s="60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</row>
    <row r="7" spans="1:27" ht="15.75" x14ac:dyDescent="0.25">
      <c r="A7" s="3">
        <v>1</v>
      </c>
      <c r="B7" s="180" t="s">
        <v>67</v>
      </c>
      <c r="C7" s="4" t="s">
        <v>46</v>
      </c>
      <c r="D7" s="49">
        <v>44250</v>
      </c>
      <c r="E7" s="60"/>
      <c r="F7" s="25"/>
    </row>
    <row r="8" spans="1:27" ht="15.75" x14ac:dyDescent="0.25">
      <c r="A8" s="5">
        <v>2</v>
      </c>
      <c r="B8" s="180" t="s">
        <v>68</v>
      </c>
      <c r="C8" s="4" t="s">
        <v>46</v>
      </c>
      <c r="D8" s="49">
        <v>44250</v>
      </c>
      <c r="E8" s="60"/>
      <c r="F8" s="25"/>
    </row>
    <row r="9" spans="1:27" ht="15.75" x14ac:dyDescent="0.25">
      <c r="A9" s="5">
        <v>3</v>
      </c>
      <c r="B9" s="180" t="s">
        <v>69</v>
      </c>
      <c r="C9" s="4" t="s">
        <v>73</v>
      </c>
      <c r="D9" s="49">
        <v>44250</v>
      </c>
      <c r="E9" s="60"/>
      <c r="F9" s="25"/>
    </row>
    <row r="10" spans="1:27" ht="15.75" x14ac:dyDescent="0.25">
      <c r="A10" s="5">
        <v>4</v>
      </c>
      <c r="B10" s="180" t="s">
        <v>70</v>
      </c>
      <c r="C10" s="4" t="s">
        <v>63</v>
      </c>
      <c r="D10" s="31" t="s">
        <v>99</v>
      </c>
      <c r="E10" s="60"/>
      <c r="F10" s="25"/>
    </row>
    <row r="11" spans="1:27" ht="15.75" x14ac:dyDescent="0.25">
      <c r="A11" s="5">
        <v>5</v>
      </c>
      <c r="B11" s="180" t="s">
        <v>72</v>
      </c>
      <c r="C11" s="4" t="s">
        <v>46</v>
      </c>
      <c r="D11" s="31" t="s">
        <v>99</v>
      </c>
      <c r="E11" s="60"/>
      <c r="F11" s="25"/>
    </row>
    <row r="12" spans="1:27" s="2" customFormat="1" x14ac:dyDescent="0.25"/>
    <row r="13" spans="1:27" s="2" customFormat="1" x14ac:dyDescent="0.25"/>
    <row r="14" spans="1:27" s="2" customFormat="1" x14ac:dyDescent="0.25"/>
    <row r="15" spans="1:27" s="2" customFormat="1" x14ac:dyDescent="0.25"/>
    <row r="16" spans="1:27" s="2" customFormat="1" x14ac:dyDescent="0.25"/>
    <row r="17" s="2" customFormat="1" x14ac:dyDescent="0.25"/>
    <row r="18" s="2" customFormat="1" x14ac:dyDescent="0.25"/>
    <row r="19" s="2" customFormat="1" x14ac:dyDescent="0.25"/>
    <row r="20" s="2" customFormat="1" x14ac:dyDescent="0.25"/>
    <row r="21" s="2" customFormat="1" x14ac:dyDescent="0.25"/>
    <row r="22" s="2" customFormat="1" x14ac:dyDescent="0.25"/>
    <row r="23" s="2" customFormat="1" x14ac:dyDescent="0.25"/>
    <row r="24" s="2" customFormat="1" x14ac:dyDescent="0.25"/>
    <row r="25" s="2" customFormat="1" x14ac:dyDescent="0.25"/>
    <row r="26" s="2" customFormat="1" x14ac:dyDescent="0.25"/>
    <row r="27" s="2" customFormat="1" x14ac:dyDescent="0.25"/>
    <row r="28" s="2" customFormat="1" x14ac:dyDescent="0.25"/>
    <row r="29" s="2" customFormat="1" x14ac:dyDescent="0.25"/>
    <row r="30" s="2" customFormat="1" x14ac:dyDescent="0.25"/>
    <row r="31" s="2" customFormat="1" x14ac:dyDescent="0.25"/>
    <row r="3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</sheetData>
  <mergeCells count="6">
    <mergeCell ref="A1:D1"/>
    <mergeCell ref="E1:E11"/>
    <mergeCell ref="A3:D3"/>
    <mergeCell ref="A4:D4"/>
    <mergeCell ref="A5:D5"/>
    <mergeCell ref="A2:D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X159"/>
  <sheetViews>
    <sheetView topLeftCell="A28" zoomScale="80" zoomScaleNormal="80" workbookViewId="0">
      <selection activeCell="A21" sqref="A21:B21"/>
    </sheetView>
  </sheetViews>
  <sheetFormatPr defaultColWidth="14.42578125" defaultRowHeight="15" x14ac:dyDescent="0.25"/>
  <cols>
    <col min="1" max="1" width="42.42578125" style="1" customWidth="1"/>
    <col min="2" max="2" width="134.28515625" style="1" bestFit="1" customWidth="1"/>
    <col min="3" max="3" width="3.140625" style="2" customWidth="1"/>
    <col min="4" max="24" width="14.42578125" style="2"/>
    <col min="25" max="16384" width="14.42578125" style="1"/>
  </cols>
  <sheetData>
    <row r="1" spans="1:24" ht="15.75" x14ac:dyDescent="0.25">
      <c r="A1" s="132" t="s">
        <v>11</v>
      </c>
      <c r="B1" s="133"/>
      <c r="C1" s="60"/>
    </row>
    <row r="2" spans="1:24" x14ac:dyDescent="0.25">
      <c r="A2" s="136" t="s">
        <v>122</v>
      </c>
      <c r="B2" s="137"/>
      <c r="C2" s="60"/>
    </row>
    <row r="3" spans="1:24" x14ac:dyDescent="0.25">
      <c r="A3" s="136" t="s">
        <v>61</v>
      </c>
      <c r="B3" s="137"/>
      <c r="C3" s="60"/>
    </row>
    <row r="4" spans="1:24" ht="15.75" x14ac:dyDescent="0.25">
      <c r="A4" s="138" t="s">
        <v>9</v>
      </c>
      <c r="B4" s="139"/>
      <c r="C4" s="60"/>
    </row>
    <row r="5" spans="1:24" x14ac:dyDescent="0.25">
      <c r="A5" s="140"/>
      <c r="B5" s="141"/>
      <c r="C5" s="60"/>
    </row>
    <row r="6" spans="1:24" s="15" customFormat="1" ht="18" customHeight="1" x14ac:dyDescent="0.25">
      <c r="A6" s="142" t="s">
        <v>12</v>
      </c>
      <c r="B6" s="29" t="s">
        <v>62</v>
      </c>
      <c r="C6" s="60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</row>
    <row r="7" spans="1:24" s="15" customFormat="1" ht="18" customHeight="1" x14ac:dyDescent="0.25">
      <c r="A7" s="142"/>
      <c r="B7" s="29" t="s">
        <v>64</v>
      </c>
      <c r="C7" s="60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</row>
    <row r="8" spans="1:24" s="15" customFormat="1" ht="18" customHeight="1" x14ac:dyDescent="0.25">
      <c r="A8" s="142"/>
      <c r="B8" s="29" t="s">
        <v>65</v>
      </c>
      <c r="C8" s="60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</row>
    <row r="9" spans="1:24" s="15" customFormat="1" ht="18" customHeight="1" x14ac:dyDescent="0.25">
      <c r="A9" s="142"/>
      <c r="B9" s="30" t="s">
        <v>102</v>
      </c>
      <c r="C9" s="60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 spans="1:24" s="15" customFormat="1" ht="18" customHeight="1" x14ac:dyDescent="0.25">
      <c r="A10" s="142"/>
      <c r="B10" s="29" t="s">
        <v>66</v>
      </c>
      <c r="C10" s="60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</row>
    <row r="11" spans="1:24" s="15" customFormat="1" ht="18" customHeight="1" x14ac:dyDescent="0.25">
      <c r="A11" s="142"/>
      <c r="B11" s="29" t="s">
        <v>67</v>
      </c>
      <c r="C11" s="60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</row>
    <row r="12" spans="1:24" ht="15.95" customHeight="1" x14ac:dyDescent="0.25">
      <c r="A12" s="143" t="s">
        <v>13</v>
      </c>
      <c r="B12" s="145" t="s">
        <v>103</v>
      </c>
      <c r="C12" s="60"/>
    </row>
    <row r="13" spans="1:24" ht="15.95" customHeight="1" x14ac:dyDescent="0.25">
      <c r="A13" s="144"/>
      <c r="B13" s="146"/>
      <c r="C13" s="60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</row>
    <row r="14" spans="1:24" ht="15.95" customHeight="1" x14ac:dyDescent="0.25">
      <c r="A14" s="147" t="s">
        <v>14</v>
      </c>
      <c r="B14" s="149" t="s">
        <v>104</v>
      </c>
      <c r="C14" s="60"/>
    </row>
    <row r="15" spans="1:24" ht="15.95" customHeight="1" x14ac:dyDescent="0.25">
      <c r="A15" s="148"/>
      <c r="B15" s="150"/>
      <c r="C15" s="6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</row>
    <row r="16" spans="1:24" ht="15.95" customHeight="1" x14ac:dyDescent="0.25">
      <c r="A16" s="151" t="s">
        <v>15</v>
      </c>
      <c r="B16" s="149"/>
      <c r="C16" s="60"/>
    </row>
    <row r="17" spans="1:24" ht="15.95" customHeight="1" x14ac:dyDescent="0.25">
      <c r="A17" s="152"/>
      <c r="B17" s="150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</row>
    <row r="18" spans="1:24" s="2" customFormat="1" x14ac:dyDescent="0.25"/>
    <row r="19" spans="1:24" s="2" customFormat="1" x14ac:dyDescent="0.25"/>
    <row r="20" spans="1:24" s="2" customFormat="1" ht="15.75" x14ac:dyDescent="0.25">
      <c r="A20" s="132" t="s">
        <v>11</v>
      </c>
      <c r="B20" s="133"/>
    </row>
    <row r="21" spans="1:24" s="2" customFormat="1" x14ac:dyDescent="0.25">
      <c r="A21" s="134" t="s">
        <v>123</v>
      </c>
      <c r="B21" s="135"/>
    </row>
    <row r="22" spans="1:24" s="2" customFormat="1" x14ac:dyDescent="0.25">
      <c r="A22" s="134" t="s">
        <v>101</v>
      </c>
      <c r="B22" s="135"/>
    </row>
    <row r="23" spans="1:24" s="2" customFormat="1" ht="15.75" x14ac:dyDescent="0.25">
      <c r="A23" s="153" t="s">
        <v>10</v>
      </c>
      <c r="B23" s="154"/>
    </row>
    <row r="24" spans="1:24" s="2" customFormat="1" x14ac:dyDescent="0.25">
      <c r="A24" s="16"/>
      <c r="B24" s="17"/>
    </row>
    <row r="25" spans="1:24" s="2" customFormat="1" ht="18" customHeight="1" x14ac:dyDescent="0.25">
      <c r="A25" s="143" t="s">
        <v>12</v>
      </c>
      <c r="B25" s="26" t="s">
        <v>68</v>
      </c>
    </row>
    <row r="26" spans="1:24" s="25" customFormat="1" ht="18" customHeight="1" x14ac:dyDescent="0.25">
      <c r="A26" s="142"/>
      <c r="B26" s="27" t="s">
        <v>71</v>
      </c>
    </row>
    <row r="27" spans="1:24" s="25" customFormat="1" ht="18" customHeight="1" x14ac:dyDescent="0.25">
      <c r="A27" s="142"/>
      <c r="B27" s="27" t="s">
        <v>69</v>
      </c>
    </row>
    <row r="28" spans="1:24" s="25" customFormat="1" ht="18" customHeight="1" x14ac:dyDescent="0.25">
      <c r="A28" s="142"/>
      <c r="B28" s="28" t="s">
        <v>70</v>
      </c>
    </row>
    <row r="29" spans="1:24" s="25" customFormat="1" ht="18" customHeight="1" x14ac:dyDescent="0.25">
      <c r="A29" s="142"/>
      <c r="B29" s="28" t="s">
        <v>72</v>
      </c>
    </row>
    <row r="30" spans="1:24" s="2" customFormat="1" ht="15.95" customHeight="1" x14ac:dyDescent="0.25">
      <c r="A30" s="155" t="s">
        <v>13</v>
      </c>
      <c r="B30" s="161" t="s">
        <v>106</v>
      </c>
    </row>
    <row r="31" spans="1:24" s="25" customFormat="1" ht="15.95" customHeight="1" x14ac:dyDescent="0.25">
      <c r="A31" s="156"/>
      <c r="B31" s="162"/>
    </row>
    <row r="32" spans="1:24" s="2" customFormat="1" ht="15.95" customHeight="1" x14ac:dyDescent="0.25">
      <c r="A32" s="155" t="s">
        <v>14</v>
      </c>
      <c r="B32" s="159" t="s">
        <v>107</v>
      </c>
    </row>
    <row r="33" spans="1:2" s="25" customFormat="1" ht="15.95" customHeight="1" x14ac:dyDescent="0.25">
      <c r="A33" s="156"/>
      <c r="B33" s="160"/>
    </row>
    <row r="34" spans="1:2" s="2" customFormat="1" ht="15.95" customHeight="1" x14ac:dyDescent="0.25">
      <c r="A34" s="155" t="s">
        <v>15</v>
      </c>
      <c r="B34" s="157" t="s">
        <v>105</v>
      </c>
    </row>
    <row r="35" spans="1:2" s="25" customFormat="1" ht="15.95" customHeight="1" x14ac:dyDescent="0.25">
      <c r="A35" s="156"/>
      <c r="B35" s="158"/>
    </row>
    <row r="36" spans="1:2" s="2" customFormat="1" x14ac:dyDescent="0.25"/>
    <row r="37" spans="1:2" s="2" customFormat="1" x14ac:dyDescent="0.25"/>
    <row r="38" spans="1:2" s="2" customFormat="1" x14ac:dyDescent="0.25"/>
    <row r="39" spans="1:2" s="2" customFormat="1" x14ac:dyDescent="0.25"/>
    <row r="40" spans="1:2" s="2" customFormat="1" x14ac:dyDescent="0.25"/>
    <row r="41" spans="1:2" s="2" customFormat="1" x14ac:dyDescent="0.25"/>
    <row r="42" spans="1:2" s="2" customFormat="1" x14ac:dyDescent="0.25"/>
    <row r="43" spans="1:2" s="2" customFormat="1" x14ac:dyDescent="0.25"/>
    <row r="44" spans="1:2" s="2" customFormat="1" x14ac:dyDescent="0.25"/>
    <row r="45" spans="1:2" s="2" customFormat="1" x14ac:dyDescent="0.25"/>
    <row r="46" spans="1:2" s="2" customFormat="1" x14ac:dyDescent="0.25"/>
    <row r="47" spans="1:2" s="2" customFormat="1" x14ac:dyDescent="0.25"/>
    <row r="48" spans="1:2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</sheetData>
  <mergeCells count="24">
    <mergeCell ref="A22:B22"/>
    <mergeCell ref="A23:B23"/>
    <mergeCell ref="A34:A35"/>
    <mergeCell ref="B34:B35"/>
    <mergeCell ref="A32:A33"/>
    <mergeCell ref="B32:B33"/>
    <mergeCell ref="A30:A31"/>
    <mergeCell ref="B30:B31"/>
    <mergeCell ref="A25:A29"/>
    <mergeCell ref="A20:B20"/>
    <mergeCell ref="A21:B21"/>
    <mergeCell ref="C1:C16"/>
    <mergeCell ref="A3:B3"/>
    <mergeCell ref="A4:B4"/>
    <mergeCell ref="A5:B5"/>
    <mergeCell ref="A2:B2"/>
    <mergeCell ref="A6:A11"/>
    <mergeCell ref="A12:A13"/>
    <mergeCell ref="B12:B13"/>
    <mergeCell ref="A14:A15"/>
    <mergeCell ref="B14:B15"/>
    <mergeCell ref="A16:A17"/>
    <mergeCell ref="B16:B17"/>
    <mergeCell ref="A1: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Y144"/>
  <sheetViews>
    <sheetView topLeftCell="A7" zoomScale="80" zoomScaleNormal="80" workbookViewId="0">
      <selection activeCell="B31" sqref="B31"/>
    </sheetView>
  </sheetViews>
  <sheetFormatPr defaultColWidth="14.42578125" defaultRowHeight="15" x14ac:dyDescent="0.25"/>
  <cols>
    <col min="1" max="1" width="50.140625" style="1" customWidth="1"/>
    <col min="2" max="2" width="81.42578125" style="1" customWidth="1"/>
    <col min="3" max="3" width="3.140625" style="2" customWidth="1"/>
    <col min="4" max="25" width="14.42578125" style="2"/>
    <col min="26" max="16384" width="14.42578125" style="1"/>
  </cols>
  <sheetData>
    <row r="1" spans="1:25" ht="15.75" x14ac:dyDescent="0.25">
      <c r="A1" s="132" t="s">
        <v>16</v>
      </c>
      <c r="B1" s="133"/>
      <c r="C1" s="60"/>
    </row>
    <row r="2" spans="1:25" x14ac:dyDescent="0.25">
      <c r="A2" s="170" t="s">
        <v>58</v>
      </c>
      <c r="B2" s="171"/>
      <c r="C2" s="60"/>
    </row>
    <row r="3" spans="1:25" ht="15.75" x14ac:dyDescent="0.25">
      <c r="A3" s="138" t="s">
        <v>9</v>
      </c>
      <c r="B3" s="139"/>
      <c r="C3" s="60"/>
    </row>
    <row r="4" spans="1:25" x14ac:dyDescent="0.25">
      <c r="A4" s="172"/>
      <c r="B4" s="173"/>
      <c r="C4" s="60"/>
    </row>
    <row r="5" spans="1:25" s="15" customFormat="1" ht="15.95" customHeight="1" x14ac:dyDescent="0.25">
      <c r="A5" s="155" t="s">
        <v>20</v>
      </c>
      <c r="B5" s="177" t="s">
        <v>108</v>
      </c>
      <c r="C5" s="60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s="15" customFormat="1" ht="45" customHeight="1" x14ac:dyDescent="0.25">
      <c r="A6" s="156"/>
      <c r="B6" s="178"/>
      <c r="C6" s="60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 ht="15.95" customHeight="1" x14ac:dyDescent="0.25">
      <c r="A7" s="155" t="s">
        <v>17</v>
      </c>
      <c r="B7" s="157" t="s">
        <v>109</v>
      </c>
      <c r="C7" s="60"/>
    </row>
    <row r="8" spans="1:25" ht="15.95" customHeight="1" x14ac:dyDescent="0.25">
      <c r="A8" s="156"/>
      <c r="B8" s="158"/>
      <c r="C8" s="60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</row>
    <row r="9" spans="1:25" ht="15.95" customHeight="1" x14ac:dyDescent="0.25">
      <c r="A9" s="155" t="s">
        <v>18</v>
      </c>
      <c r="B9" s="157" t="s">
        <v>110</v>
      </c>
      <c r="C9" s="60"/>
    </row>
    <row r="10" spans="1:25" ht="15.95" customHeight="1" x14ac:dyDescent="0.25">
      <c r="A10" s="174"/>
      <c r="B10" s="158"/>
      <c r="C10" s="60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</row>
    <row r="11" spans="1:25" ht="15.95" customHeight="1" x14ac:dyDescent="0.25">
      <c r="A11" s="151" t="s">
        <v>19</v>
      </c>
      <c r="B11" s="36" t="s">
        <v>111</v>
      </c>
      <c r="C11" s="60"/>
    </row>
    <row r="12" spans="1:25" ht="15.95" customHeight="1" x14ac:dyDescent="0.25">
      <c r="A12" s="142"/>
      <c r="B12" s="36" t="s">
        <v>112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</row>
    <row r="13" spans="1:25" ht="15.95" customHeight="1" x14ac:dyDescent="0.25">
      <c r="A13" s="152"/>
      <c r="B13" s="36" t="s">
        <v>113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</row>
    <row r="14" spans="1:25" s="2" customFormat="1" x14ac:dyDescent="0.25"/>
    <row r="15" spans="1:25" s="2" customFormat="1" x14ac:dyDescent="0.25"/>
    <row r="16" spans="1:25" s="2" customFormat="1" ht="15.75" x14ac:dyDescent="0.25">
      <c r="A16" s="132" t="s">
        <v>16</v>
      </c>
      <c r="B16" s="133"/>
    </row>
    <row r="17" spans="1:2" s="2" customFormat="1" x14ac:dyDescent="0.25">
      <c r="A17" s="170" t="s">
        <v>59</v>
      </c>
      <c r="B17" s="171"/>
    </row>
    <row r="18" spans="1:2" s="2" customFormat="1" ht="15.75" x14ac:dyDescent="0.25">
      <c r="A18" s="138" t="s">
        <v>10</v>
      </c>
      <c r="B18" s="139"/>
    </row>
    <row r="19" spans="1:2" s="2" customFormat="1" x14ac:dyDescent="0.25">
      <c r="A19" s="172"/>
      <c r="B19" s="173"/>
    </row>
    <row r="20" spans="1:2" s="2" customFormat="1" ht="15.95" customHeight="1" x14ac:dyDescent="0.25">
      <c r="A20" s="155" t="s">
        <v>20</v>
      </c>
      <c r="B20" s="175" t="s">
        <v>114</v>
      </c>
    </row>
    <row r="21" spans="1:2" s="25" customFormat="1" ht="39" customHeight="1" x14ac:dyDescent="0.25">
      <c r="A21" s="156"/>
      <c r="B21" s="176"/>
    </row>
    <row r="22" spans="1:2" s="2" customFormat="1" ht="15.95" customHeight="1" x14ac:dyDescent="0.25">
      <c r="A22" s="155" t="s">
        <v>17</v>
      </c>
      <c r="B22" s="163" t="s">
        <v>115</v>
      </c>
    </row>
    <row r="23" spans="1:2" s="25" customFormat="1" ht="15.95" customHeight="1" x14ac:dyDescent="0.25">
      <c r="A23" s="156"/>
      <c r="B23" s="164"/>
    </row>
    <row r="24" spans="1:2" s="2" customFormat="1" ht="15.95" customHeight="1" x14ac:dyDescent="0.25">
      <c r="A24" s="147" t="s">
        <v>18</v>
      </c>
      <c r="B24" s="166" t="s">
        <v>116</v>
      </c>
    </row>
    <row r="25" spans="1:2" s="25" customFormat="1" ht="33" customHeight="1" x14ac:dyDescent="0.25">
      <c r="A25" s="165"/>
      <c r="B25" s="167"/>
    </row>
    <row r="26" spans="1:2" s="2" customFormat="1" ht="15.95" customHeight="1" x14ac:dyDescent="0.25">
      <c r="A26" s="168" t="s">
        <v>19</v>
      </c>
      <c r="B26" s="38" t="s">
        <v>118</v>
      </c>
    </row>
    <row r="27" spans="1:2" s="25" customFormat="1" ht="15.95" customHeight="1" x14ac:dyDescent="0.25">
      <c r="A27" s="169"/>
      <c r="B27" s="37" t="s">
        <v>117</v>
      </c>
    </row>
    <row r="28" spans="1:2" s="2" customFormat="1" x14ac:dyDescent="0.25"/>
    <row r="29" spans="1:2" s="2" customFormat="1" x14ac:dyDescent="0.25"/>
    <row r="30" spans="1:2" s="2" customFormat="1" x14ac:dyDescent="0.25"/>
    <row r="31" spans="1:2" s="2" customFormat="1" x14ac:dyDescent="0.25"/>
    <row r="32" spans="1: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</sheetData>
  <mergeCells count="23">
    <mergeCell ref="A20:A21"/>
    <mergeCell ref="B20:B21"/>
    <mergeCell ref="A11:A13"/>
    <mergeCell ref="A1:B1"/>
    <mergeCell ref="A5:A6"/>
    <mergeCell ref="B5:B6"/>
    <mergeCell ref="A7:A8"/>
    <mergeCell ref="B7:B8"/>
    <mergeCell ref="C1:C11"/>
    <mergeCell ref="A2:B2"/>
    <mergeCell ref="A3:B3"/>
    <mergeCell ref="A4:B4"/>
    <mergeCell ref="A19:B19"/>
    <mergeCell ref="A16:B16"/>
    <mergeCell ref="A17:B17"/>
    <mergeCell ref="A18:B18"/>
    <mergeCell ref="A9:A10"/>
    <mergeCell ref="B9:B10"/>
    <mergeCell ref="A22:A23"/>
    <mergeCell ref="B22:B23"/>
    <mergeCell ref="A24:A25"/>
    <mergeCell ref="B24:B25"/>
    <mergeCell ref="A26:A27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zoomScale="80" zoomScaleNormal="80" workbookViewId="0">
      <selection activeCell="AB46" sqref="AB46"/>
    </sheetView>
  </sheetViews>
  <sheetFormatPr defaultColWidth="8.85546875"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8"/>
  <sheetViews>
    <sheetView tabSelected="1" zoomScale="90" zoomScaleNormal="90" workbookViewId="0">
      <selection activeCell="A22" sqref="A22"/>
    </sheetView>
  </sheetViews>
  <sheetFormatPr defaultColWidth="8.7109375" defaultRowHeight="15" x14ac:dyDescent="0.25"/>
  <cols>
    <col min="1" max="1" width="77.140625" style="1" customWidth="1"/>
    <col min="2" max="2" width="10.28515625" style="1" bestFit="1" customWidth="1"/>
    <col min="3" max="16" width="14" style="1" bestFit="1" customWidth="1"/>
    <col min="17" max="17" width="13.85546875" style="1" customWidth="1"/>
    <col min="18" max="16384" width="8.7109375" style="1"/>
  </cols>
  <sheetData>
    <row r="1" spans="1:17" ht="12.6" customHeight="1" x14ac:dyDescent="0.25"/>
    <row r="2" spans="1:17" x14ac:dyDescent="0.25">
      <c r="A2" s="34" t="s">
        <v>9</v>
      </c>
      <c r="B2" s="20" t="s">
        <v>28</v>
      </c>
      <c r="C2" s="20" t="s">
        <v>29</v>
      </c>
      <c r="D2" s="20" t="s">
        <v>30</v>
      </c>
      <c r="E2" s="20" t="s">
        <v>31</v>
      </c>
      <c r="F2" s="20" t="s">
        <v>32</v>
      </c>
      <c r="G2" s="20" t="s">
        <v>33</v>
      </c>
      <c r="H2" s="20" t="s">
        <v>34</v>
      </c>
      <c r="I2" s="20" t="s">
        <v>35</v>
      </c>
      <c r="J2" s="20" t="s">
        <v>36</v>
      </c>
      <c r="K2" s="20" t="s">
        <v>37</v>
      </c>
      <c r="L2" s="20" t="s">
        <v>38</v>
      </c>
      <c r="M2" s="20" t="s">
        <v>39</v>
      </c>
      <c r="N2" s="20" t="s">
        <v>40</v>
      </c>
      <c r="O2" s="20" t="s">
        <v>41</v>
      </c>
      <c r="P2" s="20" t="s">
        <v>42</v>
      </c>
      <c r="Q2" s="20" t="s">
        <v>43</v>
      </c>
    </row>
    <row r="3" spans="1:17" ht="15.75" x14ac:dyDescent="0.25">
      <c r="A3" s="29" t="s">
        <v>64</v>
      </c>
      <c r="B3" s="1">
        <v>12</v>
      </c>
      <c r="C3" s="1">
        <v>8</v>
      </c>
      <c r="D3" s="1">
        <v>4</v>
      </c>
    </row>
    <row r="4" spans="1:17" ht="15.75" x14ac:dyDescent="0.25">
      <c r="A4" s="29" t="s">
        <v>62</v>
      </c>
      <c r="B4" s="1">
        <v>30</v>
      </c>
      <c r="D4" s="1">
        <v>6</v>
      </c>
      <c r="E4" s="24">
        <v>8</v>
      </c>
      <c r="F4" s="24">
        <v>8</v>
      </c>
      <c r="G4" s="24">
        <v>8</v>
      </c>
    </row>
    <row r="5" spans="1:17" ht="15.75" x14ac:dyDescent="0.25">
      <c r="A5" s="29" t="s">
        <v>65</v>
      </c>
      <c r="B5" s="1">
        <v>40</v>
      </c>
      <c r="E5" s="24"/>
      <c r="F5" s="24"/>
      <c r="G5" s="24"/>
      <c r="H5" s="1">
        <v>8</v>
      </c>
      <c r="I5" s="1">
        <v>8</v>
      </c>
      <c r="J5" s="1">
        <v>8</v>
      </c>
      <c r="K5" s="1">
        <v>8</v>
      </c>
      <c r="L5" s="1">
        <v>8</v>
      </c>
    </row>
    <row r="6" spans="1:17" ht="15.75" x14ac:dyDescent="0.25">
      <c r="A6" s="30" t="s">
        <v>66</v>
      </c>
      <c r="B6" s="24">
        <v>2</v>
      </c>
      <c r="M6" s="1">
        <v>2</v>
      </c>
    </row>
    <row r="7" spans="1:17" ht="15.75" x14ac:dyDescent="0.25">
      <c r="A7" s="29" t="s">
        <v>121</v>
      </c>
      <c r="B7" s="24">
        <v>5</v>
      </c>
      <c r="C7" s="24"/>
      <c r="E7" s="24"/>
      <c r="G7" s="24"/>
      <c r="N7" s="1">
        <v>2</v>
      </c>
      <c r="O7" s="1">
        <v>1</v>
      </c>
      <c r="P7" s="1">
        <v>1</v>
      </c>
      <c r="Q7" s="1">
        <v>1</v>
      </c>
    </row>
    <row r="8" spans="1:17" ht="15.75" x14ac:dyDescent="0.25">
      <c r="A8" s="21" t="s">
        <v>44</v>
      </c>
      <c r="B8" s="20">
        <f>SUM(B3:B7)</f>
        <v>89</v>
      </c>
      <c r="C8" s="39">
        <f t="shared" ref="C8:Q8" si="0">IF(SUM(C3:C7)&gt;0,B8-SUM(C3:C7),"")</f>
        <v>81</v>
      </c>
      <c r="D8" s="39">
        <f t="shared" si="0"/>
        <v>71</v>
      </c>
      <c r="E8" s="39">
        <f t="shared" si="0"/>
        <v>63</v>
      </c>
      <c r="F8" s="39">
        <f t="shared" si="0"/>
        <v>55</v>
      </c>
      <c r="G8" s="39">
        <f t="shared" si="0"/>
        <v>47</v>
      </c>
      <c r="H8" s="39">
        <f t="shared" si="0"/>
        <v>39</v>
      </c>
      <c r="I8" s="39">
        <f t="shared" si="0"/>
        <v>31</v>
      </c>
      <c r="J8" s="39">
        <f t="shared" si="0"/>
        <v>23</v>
      </c>
      <c r="K8" s="39">
        <f t="shared" si="0"/>
        <v>15</v>
      </c>
      <c r="L8" s="39">
        <f t="shared" si="0"/>
        <v>7</v>
      </c>
      <c r="M8" s="56">
        <f t="shared" si="0"/>
        <v>5</v>
      </c>
      <c r="N8" s="39">
        <f t="shared" si="0"/>
        <v>3</v>
      </c>
      <c r="O8" s="39">
        <f t="shared" si="0"/>
        <v>2</v>
      </c>
      <c r="P8" s="39">
        <f t="shared" si="0"/>
        <v>1</v>
      </c>
      <c r="Q8" s="39">
        <f t="shared" si="0"/>
        <v>0</v>
      </c>
    </row>
    <row r="9" spans="1:17" x14ac:dyDescent="0.25">
      <c r="A9" s="22" t="s">
        <v>45</v>
      </c>
      <c r="B9" s="20">
        <v>72</v>
      </c>
      <c r="C9" s="23">
        <f t="shared" ref="C9:Q9" si="1">B9-($B$9/COUNTA($C$2:$Q$2))</f>
        <v>67.2</v>
      </c>
      <c r="D9" s="23">
        <f t="shared" si="1"/>
        <v>62.400000000000006</v>
      </c>
      <c r="E9" s="23">
        <f t="shared" si="1"/>
        <v>57.600000000000009</v>
      </c>
      <c r="F9" s="23">
        <f t="shared" si="1"/>
        <v>52.800000000000011</v>
      </c>
      <c r="G9" s="23">
        <f t="shared" si="1"/>
        <v>48.000000000000014</v>
      </c>
      <c r="H9" s="23">
        <f t="shared" si="1"/>
        <v>43.200000000000017</v>
      </c>
      <c r="I9" s="23">
        <f t="shared" si="1"/>
        <v>38.40000000000002</v>
      </c>
      <c r="J9" s="23">
        <f t="shared" si="1"/>
        <v>33.600000000000023</v>
      </c>
      <c r="K9" s="23">
        <f t="shared" si="1"/>
        <v>28.800000000000022</v>
      </c>
      <c r="L9" s="23">
        <f t="shared" si="1"/>
        <v>24.000000000000021</v>
      </c>
      <c r="M9" s="23">
        <f t="shared" si="1"/>
        <v>19.200000000000021</v>
      </c>
      <c r="N9" s="23">
        <f t="shared" si="1"/>
        <v>14.40000000000002</v>
      </c>
      <c r="O9" s="23">
        <f t="shared" si="1"/>
        <v>9.6000000000000192</v>
      </c>
      <c r="P9" s="23">
        <f t="shared" si="1"/>
        <v>4.8000000000000194</v>
      </c>
      <c r="Q9" s="23">
        <f t="shared" si="1"/>
        <v>1.9539925233402755E-14</v>
      </c>
    </row>
    <row r="10" spans="1:17" ht="14.1" customHeight="1" x14ac:dyDescent="0.25"/>
    <row r="11" spans="1:17" x14ac:dyDescent="0.25">
      <c r="A11" s="34" t="s">
        <v>10</v>
      </c>
      <c r="B11" s="20" t="s">
        <v>28</v>
      </c>
      <c r="C11" s="20" t="s">
        <v>29</v>
      </c>
      <c r="D11" s="20" t="s">
        <v>30</v>
      </c>
      <c r="E11" s="20" t="s">
        <v>31</v>
      </c>
      <c r="F11" s="20" t="s">
        <v>32</v>
      </c>
      <c r="G11" s="20" t="s">
        <v>33</v>
      </c>
      <c r="H11" s="20" t="s">
        <v>34</v>
      </c>
      <c r="I11" s="20" t="s">
        <v>35</v>
      </c>
    </row>
    <row r="12" spans="1:17" ht="15.75" x14ac:dyDescent="0.25">
      <c r="A12" s="29" t="s">
        <v>67</v>
      </c>
      <c r="B12" s="24">
        <v>4</v>
      </c>
      <c r="C12" s="55">
        <v>4</v>
      </c>
      <c r="D12" s="55"/>
      <c r="E12" s="55"/>
      <c r="F12" s="55"/>
      <c r="G12" s="55"/>
      <c r="H12" s="55"/>
      <c r="I12" s="55"/>
    </row>
    <row r="13" spans="1:17" ht="15.75" x14ac:dyDescent="0.25">
      <c r="A13" s="29" t="s">
        <v>68</v>
      </c>
      <c r="B13" s="1">
        <v>2</v>
      </c>
      <c r="C13" s="1">
        <v>2</v>
      </c>
    </row>
    <row r="14" spans="1:17" ht="15.75" x14ac:dyDescent="0.25">
      <c r="A14" s="30" t="s">
        <v>69</v>
      </c>
      <c r="B14" s="1">
        <v>1</v>
      </c>
      <c r="D14" s="1">
        <v>1</v>
      </c>
    </row>
    <row r="15" spans="1:17" ht="15.75" x14ac:dyDescent="0.25">
      <c r="A15" s="29" t="s">
        <v>70</v>
      </c>
      <c r="B15" s="24">
        <v>8</v>
      </c>
      <c r="E15" s="1">
        <v>4</v>
      </c>
      <c r="F15" s="1">
        <v>4</v>
      </c>
    </row>
    <row r="16" spans="1:17" ht="15.75" x14ac:dyDescent="0.25">
      <c r="A16" s="29" t="s">
        <v>72</v>
      </c>
      <c r="B16" s="24">
        <v>20</v>
      </c>
      <c r="E16" s="24"/>
      <c r="F16" s="24"/>
      <c r="G16" s="1">
        <v>7</v>
      </c>
      <c r="H16" s="1">
        <v>5</v>
      </c>
      <c r="I16" s="1">
        <v>8</v>
      </c>
    </row>
    <row r="17" spans="1:9" ht="15.75" x14ac:dyDescent="0.25">
      <c r="A17" s="21" t="s">
        <v>44</v>
      </c>
      <c r="B17" s="20">
        <f>SUM(B13:B16)</f>
        <v>31</v>
      </c>
      <c r="C17" s="39">
        <f t="shared" ref="C17:I17" si="2">IF(SUM(C13:C16)&gt;0,B17-SUM(C13:C16),"")</f>
        <v>29</v>
      </c>
      <c r="D17" s="39">
        <f t="shared" si="2"/>
        <v>28</v>
      </c>
      <c r="E17" s="39">
        <f t="shared" si="2"/>
        <v>24</v>
      </c>
      <c r="F17" s="39">
        <f t="shared" si="2"/>
        <v>20</v>
      </c>
      <c r="G17" s="39">
        <f t="shared" si="2"/>
        <v>13</v>
      </c>
      <c r="H17" s="39">
        <f t="shared" si="2"/>
        <v>8</v>
      </c>
      <c r="I17" s="39">
        <f t="shared" si="2"/>
        <v>0</v>
      </c>
    </row>
    <row r="18" spans="1:9" x14ac:dyDescent="0.25">
      <c r="A18" s="22" t="s">
        <v>45</v>
      </c>
      <c r="B18" s="20">
        <v>40</v>
      </c>
      <c r="C18" s="23">
        <f t="shared" ref="C18:I18" si="3">B18-($B$17/COUNTA($C$11:$I$11))</f>
        <v>35.571428571428569</v>
      </c>
      <c r="D18" s="23">
        <f t="shared" si="3"/>
        <v>31.142857142857139</v>
      </c>
      <c r="E18" s="23">
        <f t="shared" si="3"/>
        <v>26.714285714285708</v>
      </c>
      <c r="F18" s="23">
        <f t="shared" si="3"/>
        <v>22.285714285714278</v>
      </c>
      <c r="G18" s="23">
        <f t="shared" si="3"/>
        <v>17.857142857142847</v>
      </c>
      <c r="H18" s="23">
        <f t="shared" si="3"/>
        <v>13.428571428571418</v>
      </c>
      <c r="I18" s="23">
        <f t="shared" si="3"/>
        <v>8.9999999999999893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  <ignoredErrors>
    <ignoredError sqref="B17:C1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Product Backlog</vt:lpstr>
      <vt:lpstr>Planning Poker</vt:lpstr>
      <vt:lpstr>Histórias de Usuário</vt:lpstr>
      <vt:lpstr>Sprint 1</vt:lpstr>
      <vt:lpstr>Sprint 2</vt:lpstr>
      <vt:lpstr>Revisão da Sprint</vt:lpstr>
      <vt:lpstr>Retrospectiva da Sprint</vt:lpstr>
      <vt:lpstr>Grafico</vt:lpstr>
      <vt:lpstr>Planej Grafico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Blueshift</dc:creator>
  <cp:lastModifiedBy>BlueShift</cp:lastModifiedBy>
  <dcterms:created xsi:type="dcterms:W3CDTF">2019-08-16T20:09:51Z</dcterms:created>
  <dcterms:modified xsi:type="dcterms:W3CDTF">2021-03-05T13:05:33Z</dcterms:modified>
</cp:coreProperties>
</file>